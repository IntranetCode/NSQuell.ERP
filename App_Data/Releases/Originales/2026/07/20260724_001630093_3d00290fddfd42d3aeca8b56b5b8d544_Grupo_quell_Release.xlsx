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magroup-my.sharepoint.com/personal/estefany_mendoza_normagroup_com/Documents/Desktop/Bluequark/"/>
    </mc:Choice>
  </mc:AlternateContent>
  <xr:revisionPtr revIDLastSave="248" documentId="8_{AD7196D8-13AF-4164-A3CD-1E6042E4958F}" xr6:coauthVersionLast="47" xr6:coauthVersionMax="47" xr10:uidLastSave="{FD9194BF-BE73-434F-BC56-417093512E65}"/>
  <bookViews>
    <workbookView xWindow="-108" yWindow="-108" windowWidth="23256" windowHeight="12456" firstSheet="1" activeTab="1" xr2:uid="{BDCFD39F-E2A9-41E2-8330-DC9AB132CC60}"/>
  </bookViews>
  <sheets>
    <sheet name="Grupo quell" sheetId="1" state="hidden" r:id="rId1"/>
    <sheet name="Grupo quell W29" sheetId="2" r:id="rId2"/>
  </sheets>
  <definedNames>
    <definedName name="_xlnm._FilterDatabase" localSheetId="1" hidden="1">'Grupo quell W29'!$A$1:$AJ$11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B1" i="2"/>
  <c r="AC1" i="2"/>
  <c r="AD1" i="2" s="1"/>
  <c r="AE1" i="2" s="1"/>
  <c r="AF1" i="2" s="1"/>
  <c r="AG1" i="2" s="1"/>
  <c r="AH1" i="2" s="1"/>
  <c r="AI1" i="2" s="1"/>
  <c r="AJ1" i="2" s="1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D10" i="1" l="1"/>
  <c r="E11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C1" i="1" s="1"/>
  <c r="AD1" i="1" s="1"/>
  <c r="AE1" i="1" s="1"/>
  <c r="AF1" i="1" s="1"/>
  <c r="AG1" i="1" s="1"/>
  <c r="AH1" i="1" s="1"/>
  <c r="AI1" i="1" s="1"/>
  <c r="AJ1" i="1" s="1"/>
  <c r="D9" i="1"/>
</calcChain>
</file>

<file path=xl/sharedStrings.xml><?xml version="1.0" encoding="utf-8"?>
<sst xmlns="http://schemas.openxmlformats.org/spreadsheetml/2006/main" count="42" uniqueCount="31">
  <si>
    <t>item</t>
  </si>
  <si>
    <t>1789P050136-100-50D</t>
  </si>
  <si>
    <t>1789P050501-100-50D</t>
  </si>
  <si>
    <t>1789P050501-100-40D</t>
  </si>
  <si>
    <t>1789P051510 40</t>
  </si>
  <si>
    <t>1789P050136-100-40D</t>
  </si>
  <si>
    <t>MOLDE</t>
  </si>
  <si>
    <t xml:space="preserve">Num de semana </t>
  </si>
  <si>
    <t>07/13/2026</t>
  </si>
  <si>
    <t>7/20/2026</t>
  </si>
  <si>
    <t>7/27/2026</t>
  </si>
  <si>
    <t>08/17/2026</t>
  </si>
  <si>
    <t>8/24/2026</t>
  </si>
  <si>
    <t>8/31/2026</t>
  </si>
  <si>
    <t>09/14/2026</t>
  </si>
  <si>
    <t>9/21/2026</t>
  </si>
  <si>
    <t>09/28/2026</t>
  </si>
  <si>
    <t>10/19/2026</t>
  </si>
  <si>
    <t>10/26/2026</t>
  </si>
  <si>
    <t>11/16/2026</t>
  </si>
  <si>
    <t>11/23/2026</t>
  </si>
  <si>
    <t>11/30/2026</t>
  </si>
  <si>
    <t>12/14/2026</t>
  </si>
  <si>
    <t>12/21/2026</t>
  </si>
  <si>
    <t>01/18/2027</t>
  </si>
  <si>
    <t>01/25/2027</t>
  </si>
  <si>
    <t>02/15/2027</t>
  </si>
  <si>
    <t>02/22/2027</t>
  </si>
  <si>
    <t>RESINA ASR 13</t>
  </si>
  <si>
    <t>RESINA AZM30</t>
  </si>
  <si>
    <t>1789P051982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</si>
</sst>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4"/>
      <color rgb="FFFFFFFF"/>
      <name val="Aptos Narrow"/>
      <family val="2"/>
      <scheme val="minor"/>
    </font>
    <font>
      <sz val="14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14" fontId="2" fillId="3" borderId="2" xfId="0" applyNumberFormat="1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center" vertical="top"/>
    </xf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8" borderId="0" xfId="0" applyFont="1" applyFill="1"/>
    <xf numFmtId="0" fontId="7" fillId="7" borderId="0" xfId="0" applyFont="1" applyFill="1"/>
    <xf numFmtId="3" fontId="8" fillId="0" borderId="2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AC9F-4843-404C-B67A-89A187765B5A}">
  <dimension ref="A1:AJ15"/>
  <sheetViews>
    <sheetView workbookViewId="0">
      <pane xSplit="2" ySplit="2" topLeftCell="D3" activePane="bottomRight" state="frozen"/>
      <selection pane="topRight" activeCell="B1" sqref="B1"/>
      <selection pane="bottomLeft" activeCell="A2" sqref="A2"/>
      <selection pane="bottomRight" activeCell="L3" sqref="L3:AJ3"/>
    </sheetView>
  </sheetViews>
  <sheetFormatPr baseColWidth="10" defaultColWidth="11.44140625" defaultRowHeight="14.4" x14ac:dyDescent="0.3"/>
  <cols>
    <col min="1" max="1" width="16.6640625" bestFit="1" customWidth="1"/>
    <col min="2" max="2" width="25.6640625" bestFit="1" customWidth="1"/>
    <col min="3" max="4" width="14.33203125" bestFit="1" customWidth="1"/>
    <col min="5" max="6" width="12.109375" bestFit="1" customWidth="1"/>
    <col min="7" max="9" width="14.33203125" bestFit="1" customWidth="1"/>
    <col min="10" max="11" width="12.109375" bestFit="1" customWidth="1"/>
    <col min="12" max="13" width="14.33203125" bestFit="1" customWidth="1"/>
    <col min="14" max="14" width="12.109375" bestFit="1" customWidth="1"/>
    <col min="15" max="15" width="13.44140625" bestFit="1" customWidth="1"/>
    <col min="16" max="24" width="14.33203125" bestFit="1" customWidth="1"/>
    <col min="25" max="32" width="13.44140625" bestFit="1" customWidth="1"/>
    <col min="33" max="36" width="14.33203125" bestFit="1" customWidth="1"/>
  </cols>
  <sheetData>
    <row r="1" spans="1:36" ht="18.600000000000001" thickBot="1" x14ac:dyDescent="0.35">
      <c r="B1" s="1" t="s">
        <v>7</v>
      </c>
      <c r="C1" s="2">
        <v>28</v>
      </c>
      <c r="D1" s="2">
        <f t="shared" ref="D1:AJ1" si="0">C1+1</f>
        <v>29</v>
      </c>
      <c r="E1" s="2">
        <f t="shared" si="0"/>
        <v>30</v>
      </c>
      <c r="F1" s="2">
        <f t="shared" si="0"/>
        <v>31</v>
      </c>
      <c r="G1" s="2">
        <f t="shared" si="0"/>
        <v>32</v>
      </c>
      <c r="H1" s="2">
        <f t="shared" si="0"/>
        <v>33</v>
      </c>
      <c r="I1" s="2">
        <f t="shared" si="0"/>
        <v>34</v>
      </c>
      <c r="J1" s="2">
        <f t="shared" si="0"/>
        <v>35</v>
      </c>
      <c r="K1" s="2">
        <f t="shared" si="0"/>
        <v>36</v>
      </c>
      <c r="L1" s="2">
        <f t="shared" si="0"/>
        <v>37</v>
      </c>
      <c r="M1" s="2">
        <f t="shared" si="0"/>
        <v>38</v>
      </c>
      <c r="N1" s="2">
        <f t="shared" si="0"/>
        <v>39</v>
      </c>
      <c r="O1" s="2">
        <f t="shared" si="0"/>
        <v>40</v>
      </c>
      <c r="P1" s="2">
        <f t="shared" si="0"/>
        <v>41</v>
      </c>
      <c r="Q1" s="2">
        <f t="shared" si="0"/>
        <v>42</v>
      </c>
      <c r="R1" s="2">
        <f t="shared" si="0"/>
        <v>43</v>
      </c>
      <c r="S1" s="2">
        <f t="shared" si="0"/>
        <v>44</v>
      </c>
      <c r="T1" s="2">
        <f t="shared" si="0"/>
        <v>45</v>
      </c>
      <c r="U1" s="2">
        <f t="shared" si="0"/>
        <v>46</v>
      </c>
      <c r="V1" s="2">
        <f t="shared" si="0"/>
        <v>47</v>
      </c>
      <c r="W1" s="2">
        <f t="shared" si="0"/>
        <v>48</v>
      </c>
      <c r="X1" s="2">
        <f t="shared" si="0"/>
        <v>49</v>
      </c>
      <c r="Y1" s="2">
        <f t="shared" si="0"/>
        <v>50</v>
      </c>
      <c r="Z1" s="2">
        <f t="shared" si="0"/>
        <v>51</v>
      </c>
      <c r="AA1" s="2">
        <f t="shared" si="0"/>
        <v>52</v>
      </c>
      <c r="AB1" s="2">
        <v>1</v>
      </c>
      <c r="AC1" s="2">
        <f t="shared" si="0"/>
        <v>2</v>
      </c>
      <c r="AD1" s="2">
        <f t="shared" si="0"/>
        <v>3</v>
      </c>
      <c r="AE1" s="2">
        <f t="shared" si="0"/>
        <v>4</v>
      </c>
      <c r="AF1" s="2">
        <f t="shared" si="0"/>
        <v>5</v>
      </c>
      <c r="AG1" s="2">
        <f t="shared" si="0"/>
        <v>6</v>
      </c>
      <c r="AH1" s="2">
        <f t="shared" si="0"/>
        <v>7</v>
      </c>
      <c r="AI1" s="2">
        <f t="shared" si="0"/>
        <v>8</v>
      </c>
      <c r="AJ1" s="2">
        <f t="shared" si="0"/>
        <v>9</v>
      </c>
    </row>
    <row r="2" spans="1:36" ht="18" x14ac:dyDescent="0.3">
      <c r="A2" s="9" t="s">
        <v>6</v>
      </c>
      <c r="B2" s="1" t="s">
        <v>0</v>
      </c>
      <c r="C2" s="3">
        <v>46180</v>
      </c>
      <c r="D2" s="3" t="s">
        <v>8</v>
      </c>
      <c r="E2" s="2" t="s">
        <v>9</v>
      </c>
      <c r="F2" s="2" t="s">
        <v>10</v>
      </c>
      <c r="G2" s="3">
        <v>46089</v>
      </c>
      <c r="H2" s="3">
        <v>46303</v>
      </c>
      <c r="I2" s="3" t="s">
        <v>11</v>
      </c>
      <c r="J2" s="2" t="s">
        <v>12</v>
      </c>
      <c r="K2" s="2" t="s">
        <v>13</v>
      </c>
      <c r="L2" s="3">
        <v>46212</v>
      </c>
      <c r="M2" s="3" t="s">
        <v>14</v>
      </c>
      <c r="N2" s="2" t="s">
        <v>15</v>
      </c>
      <c r="O2" s="3" t="s">
        <v>16</v>
      </c>
      <c r="P2" s="3">
        <v>46152</v>
      </c>
      <c r="Q2" s="3">
        <v>46366</v>
      </c>
      <c r="R2" s="3" t="s">
        <v>17</v>
      </c>
      <c r="S2" s="2" t="s">
        <v>18</v>
      </c>
      <c r="T2" s="3">
        <v>46064</v>
      </c>
      <c r="U2" s="3">
        <v>46276</v>
      </c>
      <c r="V2" s="3" t="s">
        <v>19</v>
      </c>
      <c r="W2" s="3" t="s">
        <v>20</v>
      </c>
      <c r="X2" s="3" t="s">
        <v>21</v>
      </c>
      <c r="Y2" s="3">
        <v>46215</v>
      </c>
      <c r="Z2" s="3" t="s">
        <v>22</v>
      </c>
      <c r="AA2" s="3" t="s">
        <v>23</v>
      </c>
      <c r="AB2" s="3">
        <v>46478</v>
      </c>
      <c r="AC2" s="3">
        <v>46692</v>
      </c>
      <c r="AD2" s="3" t="s">
        <v>24</v>
      </c>
      <c r="AE2" s="3" t="s">
        <v>25</v>
      </c>
      <c r="AF2" s="3">
        <v>46389</v>
      </c>
      <c r="AG2" s="3">
        <v>46601</v>
      </c>
      <c r="AH2" s="12" t="s">
        <v>26</v>
      </c>
      <c r="AI2" s="12" t="s">
        <v>27</v>
      </c>
      <c r="AJ2" s="12">
        <v>46390</v>
      </c>
    </row>
    <row r="3" spans="1:36" ht="21" customHeight="1" x14ac:dyDescent="0.3">
      <c r="A3" s="18">
        <v>2018</v>
      </c>
      <c r="B3" s="10" t="s">
        <v>1</v>
      </c>
      <c r="C3" s="5"/>
      <c r="D3" s="5">
        <v>21000</v>
      </c>
      <c r="E3" s="6">
        <v>0</v>
      </c>
      <c r="F3" s="6">
        <v>18000</v>
      </c>
      <c r="G3" s="5">
        <v>12000</v>
      </c>
      <c r="H3" s="5">
        <v>24000</v>
      </c>
      <c r="I3" s="5">
        <v>24000</v>
      </c>
      <c r="J3" s="6">
        <v>0</v>
      </c>
      <c r="K3" s="6">
        <v>0</v>
      </c>
      <c r="L3" s="5">
        <v>20000</v>
      </c>
      <c r="M3" s="5">
        <v>20000</v>
      </c>
      <c r="N3" s="5">
        <v>0</v>
      </c>
      <c r="O3" s="5">
        <v>20000</v>
      </c>
      <c r="P3" s="5">
        <v>0</v>
      </c>
      <c r="Q3" s="5">
        <v>0</v>
      </c>
      <c r="R3" s="5">
        <v>20000</v>
      </c>
      <c r="S3" s="5">
        <v>10000</v>
      </c>
      <c r="T3" s="8">
        <v>0</v>
      </c>
      <c r="U3" s="5">
        <v>10000</v>
      </c>
      <c r="V3" s="5">
        <v>10000</v>
      </c>
      <c r="W3" s="5">
        <v>20000</v>
      </c>
      <c r="X3" s="5">
        <v>10000</v>
      </c>
      <c r="Y3" s="5">
        <v>10000</v>
      </c>
      <c r="Z3" s="5">
        <v>20000</v>
      </c>
      <c r="AA3" s="5">
        <v>10000</v>
      </c>
      <c r="AB3" s="5">
        <v>10000</v>
      </c>
      <c r="AC3" s="5">
        <v>20000</v>
      </c>
      <c r="AD3" s="5">
        <v>20000</v>
      </c>
      <c r="AE3" s="5">
        <v>10000</v>
      </c>
      <c r="AF3" s="5">
        <v>10000</v>
      </c>
      <c r="AG3" s="5">
        <v>0</v>
      </c>
      <c r="AH3" s="5">
        <v>20000</v>
      </c>
      <c r="AI3" s="5">
        <v>0</v>
      </c>
      <c r="AJ3" s="5">
        <v>10000</v>
      </c>
    </row>
    <row r="4" spans="1:36" ht="21" x14ac:dyDescent="0.3">
      <c r="A4" s="19"/>
      <c r="B4" s="10" t="s">
        <v>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5">
        <v>0</v>
      </c>
      <c r="AC4" s="5">
        <v>15000</v>
      </c>
      <c r="AD4" s="5">
        <v>0</v>
      </c>
      <c r="AE4" s="5">
        <v>0</v>
      </c>
      <c r="AF4" s="5">
        <v>0</v>
      </c>
      <c r="AG4" s="5">
        <v>5000</v>
      </c>
      <c r="AH4" s="5">
        <v>0</v>
      </c>
      <c r="AI4" s="5">
        <v>0</v>
      </c>
      <c r="AJ4" s="5">
        <v>0</v>
      </c>
    </row>
    <row r="5" spans="1:36" ht="21" x14ac:dyDescent="0.3">
      <c r="A5" s="19"/>
      <c r="B5" s="10">
        <v>17898001104</v>
      </c>
      <c r="C5" s="5"/>
      <c r="D5" s="6">
        <v>0</v>
      </c>
      <c r="E5" s="5">
        <v>44000</v>
      </c>
      <c r="F5" s="5">
        <v>44000</v>
      </c>
      <c r="G5" s="5">
        <v>38000</v>
      </c>
      <c r="H5" s="6">
        <v>0</v>
      </c>
      <c r="I5" s="5">
        <v>44000</v>
      </c>
      <c r="J5" s="5">
        <v>38000</v>
      </c>
      <c r="K5" s="6">
        <v>0</v>
      </c>
      <c r="L5" s="5">
        <v>38000</v>
      </c>
      <c r="M5" s="6">
        <v>0</v>
      </c>
      <c r="N5" s="5">
        <v>38000</v>
      </c>
      <c r="O5" s="6">
        <v>44000</v>
      </c>
      <c r="P5" s="5">
        <v>0</v>
      </c>
      <c r="Q5" s="5">
        <v>54000</v>
      </c>
      <c r="R5" s="6">
        <v>0</v>
      </c>
      <c r="S5" s="5">
        <v>54000</v>
      </c>
      <c r="T5" s="5">
        <v>38000</v>
      </c>
      <c r="U5" s="6">
        <v>0</v>
      </c>
      <c r="V5" s="6">
        <v>0</v>
      </c>
      <c r="W5" s="5">
        <v>54000</v>
      </c>
      <c r="X5" s="6">
        <v>0</v>
      </c>
      <c r="Y5" s="5">
        <v>0</v>
      </c>
      <c r="Z5" s="6">
        <v>48000</v>
      </c>
      <c r="AA5" s="5">
        <v>0</v>
      </c>
      <c r="AB5" s="6">
        <v>0</v>
      </c>
      <c r="AC5" s="5">
        <v>0</v>
      </c>
      <c r="AD5" s="5">
        <v>0</v>
      </c>
      <c r="AE5" s="5">
        <v>48000</v>
      </c>
      <c r="AF5" s="5">
        <v>0</v>
      </c>
      <c r="AG5" s="5">
        <v>0</v>
      </c>
      <c r="AH5" s="5">
        <v>0</v>
      </c>
      <c r="AI5" s="5">
        <v>48000</v>
      </c>
      <c r="AJ5" s="5">
        <v>0</v>
      </c>
    </row>
    <row r="6" spans="1:36" ht="21" x14ac:dyDescent="0.3">
      <c r="A6" s="19"/>
      <c r="B6" s="11" t="s">
        <v>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5">
        <v>24000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5">
        <v>15000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15000</v>
      </c>
    </row>
    <row r="7" spans="1:36" ht="21" x14ac:dyDescent="0.3">
      <c r="A7" s="19"/>
      <c r="B7" s="11" t="s">
        <v>4</v>
      </c>
      <c r="C7" s="17">
        <v>4000</v>
      </c>
      <c r="D7" s="6">
        <v>0</v>
      </c>
      <c r="E7" s="5">
        <v>0</v>
      </c>
      <c r="F7" s="6">
        <v>0</v>
      </c>
      <c r="G7" s="5">
        <v>0</v>
      </c>
      <c r="H7" s="6">
        <v>0</v>
      </c>
      <c r="I7" s="5">
        <v>2000</v>
      </c>
      <c r="J7" s="6">
        <v>0</v>
      </c>
      <c r="K7" s="5">
        <v>0</v>
      </c>
      <c r="L7" s="6">
        <v>0</v>
      </c>
      <c r="M7" s="5">
        <v>0</v>
      </c>
      <c r="N7" s="6">
        <v>0</v>
      </c>
      <c r="O7" s="6">
        <v>0</v>
      </c>
      <c r="P7" s="5">
        <v>0</v>
      </c>
      <c r="Q7" s="5">
        <v>4000</v>
      </c>
      <c r="R7" s="5">
        <v>0</v>
      </c>
      <c r="S7" s="5">
        <v>0</v>
      </c>
      <c r="T7" s="5">
        <v>4000</v>
      </c>
      <c r="U7" s="5">
        <v>0</v>
      </c>
      <c r="V7" s="5">
        <v>0</v>
      </c>
      <c r="W7" s="5">
        <v>0</v>
      </c>
      <c r="X7" s="5">
        <v>4000</v>
      </c>
      <c r="Y7" s="5">
        <v>0</v>
      </c>
      <c r="Z7" s="5">
        <v>0</v>
      </c>
      <c r="AA7" s="5">
        <v>4000</v>
      </c>
      <c r="AB7" s="5">
        <v>0</v>
      </c>
      <c r="AC7" s="5">
        <v>0</v>
      </c>
      <c r="AD7" s="5">
        <v>4000</v>
      </c>
      <c r="AE7" s="5">
        <v>0</v>
      </c>
      <c r="AF7" s="5">
        <v>0</v>
      </c>
      <c r="AG7" s="5">
        <v>4000</v>
      </c>
      <c r="AH7" s="5">
        <v>0</v>
      </c>
      <c r="AI7" s="5">
        <v>0</v>
      </c>
      <c r="AJ7" s="5">
        <v>0</v>
      </c>
    </row>
    <row r="8" spans="1:36" ht="21" x14ac:dyDescent="0.3">
      <c r="A8" s="19"/>
      <c r="B8" s="11" t="s">
        <v>30</v>
      </c>
      <c r="C8" s="17">
        <v>6000</v>
      </c>
      <c r="D8" s="6">
        <v>0</v>
      </c>
      <c r="E8" s="5">
        <v>0</v>
      </c>
      <c r="F8" s="6">
        <v>0</v>
      </c>
      <c r="G8" s="5">
        <v>6000</v>
      </c>
      <c r="H8" s="6">
        <v>0</v>
      </c>
      <c r="I8" s="6">
        <v>0</v>
      </c>
      <c r="J8" s="5">
        <v>0</v>
      </c>
      <c r="K8" s="6">
        <v>0</v>
      </c>
      <c r="L8" s="5">
        <v>4000</v>
      </c>
      <c r="M8" s="6">
        <v>0</v>
      </c>
      <c r="N8" s="6">
        <v>0</v>
      </c>
      <c r="O8" s="5">
        <v>0</v>
      </c>
      <c r="P8" s="5">
        <v>6000</v>
      </c>
      <c r="Q8" s="6">
        <v>0</v>
      </c>
      <c r="R8" s="6">
        <v>0</v>
      </c>
      <c r="S8" s="5">
        <v>0</v>
      </c>
      <c r="T8" s="5">
        <v>4000</v>
      </c>
      <c r="U8" s="6">
        <v>0</v>
      </c>
      <c r="V8" s="6">
        <v>0</v>
      </c>
      <c r="W8" s="5">
        <v>0</v>
      </c>
      <c r="X8" s="5">
        <v>4000</v>
      </c>
      <c r="Y8" s="6">
        <v>0</v>
      </c>
      <c r="Z8" s="6">
        <v>0</v>
      </c>
      <c r="AA8" s="5">
        <v>0</v>
      </c>
      <c r="AB8" s="5">
        <v>4000</v>
      </c>
      <c r="AC8" s="6">
        <v>0</v>
      </c>
      <c r="AD8" s="6">
        <v>0</v>
      </c>
      <c r="AE8" s="5">
        <v>0</v>
      </c>
      <c r="AF8" s="5">
        <v>4000</v>
      </c>
      <c r="AG8" s="6">
        <v>0</v>
      </c>
      <c r="AH8" s="6">
        <v>0</v>
      </c>
      <c r="AI8" s="5">
        <v>0</v>
      </c>
      <c r="AJ8" s="5">
        <v>4000</v>
      </c>
    </row>
    <row r="9" spans="1:36" ht="20.399999999999999" customHeight="1" x14ac:dyDescent="0.3">
      <c r="A9" s="20"/>
      <c r="B9" s="11" t="s">
        <v>5</v>
      </c>
      <c r="C9" s="6">
        <v>0</v>
      </c>
      <c r="D9" s="5">
        <f>38000-3000</f>
        <v>35000</v>
      </c>
      <c r="E9" s="6">
        <v>0</v>
      </c>
      <c r="F9" s="6">
        <v>0</v>
      </c>
      <c r="G9" s="6">
        <v>0</v>
      </c>
      <c r="H9" s="5">
        <v>21000</v>
      </c>
      <c r="I9" s="6">
        <v>0</v>
      </c>
      <c r="J9" s="6">
        <v>0</v>
      </c>
      <c r="K9" s="5">
        <v>15000</v>
      </c>
      <c r="L9" s="6">
        <v>0</v>
      </c>
      <c r="M9" s="6">
        <v>0</v>
      </c>
      <c r="N9" s="5">
        <v>38000</v>
      </c>
      <c r="O9" s="5">
        <v>0</v>
      </c>
      <c r="P9" s="6">
        <v>0</v>
      </c>
      <c r="Q9" s="5">
        <v>38000</v>
      </c>
      <c r="R9" s="5">
        <v>38000</v>
      </c>
      <c r="S9" s="5">
        <v>0</v>
      </c>
      <c r="T9" s="6">
        <v>0</v>
      </c>
      <c r="U9" s="5">
        <v>38000</v>
      </c>
      <c r="V9" s="5">
        <v>38000</v>
      </c>
      <c r="W9" s="5">
        <v>0</v>
      </c>
      <c r="X9" s="5">
        <v>38000</v>
      </c>
      <c r="Y9" s="5">
        <v>38000</v>
      </c>
      <c r="Z9" s="5">
        <v>0</v>
      </c>
      <c r="AA9" s="5">
        <v>38000</v>
      </c>
      <c r="AB9" s="5">
        <v>0</v>
      </c>
      <c r="AC9" s="5">
        <v>0</v>
      </c>
      <c r="AD9" s="5">
        <v>0</v>
      </c>
      <c r="AE9" s="5">
        <v>0</v>
      </c>
      <c r="AF9" s="5">
        <v>38000</v>
      </c>
      <c r="AG9" s="5">
        <v>0</v>
      </c>
      <c r="AH9" s="5">
        <v>0</v>
      </c>
      <c r="AI9" s="5">
        <v>0</v>
      </c>
      <c r="AJ9" s="5">
        <v>38000</v>
      </c>
    </row>
    <row r="10" spans="1:36" ht="21" x14ac:dyDescent="0.3">
      <c r="A10" s="4">
        <v>82000000458</v>
      </c>
      <c r="B10" s="11">
        <v>17891005101</v>
      </c>
      <c r="C10" s="5"/>
      <c r="D10" s="5">
        <f>21000-4000</f>
        <v>17000</v>
      </c>
      <c r="E10" s="5">
        <v>21000</v>
      </c>
      <c r="F10" s="5">
        <v>21000</v>
      </c>
      <c r="G10" s="5">
        <v>21000</v>
      </c>
      <c r="H10" s="5">
        <v>30000</v>
      </c>
      <c r="I10" s="5">
        <v>21000</v>
      </c>
      <c r="J10" s="5">
        <v>21000</v>
      </c>
      <c r="K10" s="5">
        <v>28000</v>
      </c>
      <c r="L10" s="5">
        <v>21000</v>
      </c>
      <c r="M10" s="5">
        <v>21000</v>
      </c>
      <c r="N10" s="5">
        <v>0</v>
      </c>
      <c r="O10" s="5">
        <v>21000</v>
      </c>
      <c r="P10" s="5">
        <v>21000</v>
      </c>
      <c r="Q10" s="5">
        <v>21000</v>
      </c>
      <c r="R10" s="5">
        <v>21000</v>
      </c>
      <c r="S10" s="5">
        <v>21000</v>
      </c>
      <c r="T10" s="5">
        <v>21000</v>
      </c>
      <c r="U10" s="5">
        <v>28000</v>
      </c>
      <c r="V10" s="5">
        <v>21000</v>
      </c>
      <c r="W10" s="5">
        <v>28000</v>
      </c>
      <c r="X10" s="5">
        <v>21000</v>
      </c>
      <c r="Y10" s="5">
        <v>30000</v>
      </c>
      <c r="Z10" s="5">
        <v>30000</v>
      </c>
      <c r="AA10" s="5">
        <v>30000</v>
      </c>
      <c r="AB10" s="5">
        <v>30000</v>
      </c>
      <c r="AC10" s="5">
        <v>30000</v>
      </c>
      <c r="AD10" s="5">
        <v>30000</v>
      </c>
      <c r="AE10" s="5">
        <v>21000</v>
      </c>
      <c r="AF10" s="5">
        <v>30000</v>
      </c>
      <c r="AG10" s="5">
        <v>30000</v>
      </c>
      <c r="AH10" s="5">
        <v>30000</v>
      </c>
      <c r="AI10" s="5">
        <v>21000</v>
      </c>
      <c r="AJ10" s="5">
        <v>30000</v>
      </c>
    </row>
    <row r="11" spans="1:36" ht="21" x14ac:dyDescent="0.3">
      <c r="A11" s="4">
        <v>82000000656</v>
      </c>
      <c r="B11" s="11">
        <v>17891007101</v>
      </c>
      <c r="C11" s="7"/>
      <c r="D11" s="7"/>
      <c r="E11" s="7">
        <f>21000-17000-2000</f>
        <v>2000</v>
      </c>
      <c r="F11" s="7">
        <v>21000</v>
      </c>
      <c r="G11" s="7">
        <v>21000</v>
      </c>
      <c r="H11" s="7">
        <v>21000</v>
      </c>
      <c r="I11" s="7">
        <v>30000</v>
      </c>
      <c r="J11" s="7">
        <v>30000</v>
      </c>
      <c r="K11" s="7">
        <v>21000</v>
      </c>
      <c r="L11" s="7">
        <v>30000</v>
      </c>
      <c r="M11" s="7">
        <v>30000</v>
      </c>
      <c r="N11" s="7">
        <v>30000</v>
      </c>
      <c r="O11" s="7">
        <v>0</v>
      </c>
      <c r="P11" s="7">
        <v>21000</v>
      </c>
      <c r="Q11" s="7">
        <v>30000</v>
      </c>
      <c r="R11" s="7">
        <v>30000</v>
      </c>
      <c r="S11" s="7">
        <v>30000</v>
      </c>
      <c r="T11" s="7">
        <v>30000</v>
      </c>
      <c r="U11" s="7">
        <v>30000</v>
      </c>
      <c r="V11" s="7">
        <v>30000</v>
      </c>
      <c r="W11" s="7">
        <v>30000</v>
      </c>
      <c r="X11" s="7">
        <v>30000</v>
      </c>
      <c r="Y11" s="7">
        <v>21000</v>
      </c>
      <c r="Z11" s="7">
        <v>28000</v>
      </c>
      <c r="AA11" s="7">
        <v>28000</v>
      </c>
      <c r="AB11" s="7">
        <v>28000</v>
      </c>
      <c r="AC11" s="7">
        <v>28000</v>
      </c>
      <c r="AD11" s="7">
        <v>21000</v>
      </c>
      <c r="AE11" s="7">
        <v>30000</v>
      </c>
      <c r="AF11" s="7">
        <v>28000</v>
      </c>
      <c r="AG11" s="7">
        <v>28000</v>
      </c>
      <c r="AH11" s="7">
        <v>21000</v>
      </c>
      <c r="AI11" s="7">
        <v>30000</v>
      </c>
      <c r="AJ11" s="7">
        <v>28000</v>
      </c>
    </row>
    <row r="12" spans="1:36" ht="18" customHeight="1" x14ac:dyDescent="0.3">
      <c r="B12" s="13"/>
    </row>
    <row r="13" spans="1:36" ht="14.4" customHeight="1" x14ac:dyDescent="0.3">
      <c r="B13" s="14"/>
    </row>
    <row r="14" spans="1:36" ht="14.4" customHeight="1" x14ac:dyDescent="0.3">
      <c r="B14" s="15" t="s">
        <v>28</v>
      </c>
    </row>
    <row r="15" spans="1:36" ht="14.4" customHeight="1" x14ac:dyDescent="0.3">
      <c r="B15" s="16" t="s">
        <v>29</v>
      </c>
    </row>
  </sheetData>
  <mergeCells count="1">
    <mergeCell ref="A3:A9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BB2E-0719-4593-9946-A140084FF440}">
  <dimension ref="A1:AJ15"/>
  <sheetViews>
    <sheetView tabSelected="1" zoomScale="55" zoomScaleNormal="55" workbookViewId="0">
      <pane xSplit="2" ySplit="2" topLeftCell="C3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baseColWidth="10" defaultColWidth="11.44140625" defaultRowHeight="14.4" x14ac:dyDescent="0.3"/>
  <cols>
    <col min="1" max="1" width="16.6640625" bestFit="1" customWidth="1"/>
    <col min="2" max="2" width="27.5546875" bestFit="1" customWidth="1"/>
    <col min="3" max="3" width="15.44140625" bestFit="1" customWidth="1"/>
    <col min="4" max="4" width="15.5546875" bestFit="1" customWidth="1"/>
    <col min="5" max="15" width="15.44140625" bestFit="1" customWidth="1"/>
    <col min="16" max="16" width="15.5546875" bestFit="1" customWidth="1"/>
    <col min="17" max="36" width="15.44140625" bestFit="1" customWidth="1"/>
  </cols>
  <sheetData>
    <row r="1" spans="1:36" ht="18.600000000000001" thickBot="1" x14ac:dyDescent="0.35">
      <c r="B1" s="1" t="s">
        <v>7</v>
      </c>
      <c r="C1" s="2">
        <v>29</v>
      </c>
      <c r="D1" s="2">
        <f>C1+1</f>
        <v>30</v>
      </c>
      <c r="E1" s="2">
        <f t="shared" ref="E1:AJ1" si="0">D1+1</f>
        <v>31</v>
      </c>
      <c r="F1" s="2">
        <f t="shared" si="0"/>
        <v>32</v>
      </c>
      <c r="G1" s="2">
        <f t="shared" si="0"/>
        <v>33</v>
      </c>
      <c r="H1" s="2">
        <f t="shared" si="0"/>
        <v>34</v>
      </c>
      <c r="I1" s="2">
        <f t="shared" si="0"/>
        <v>35</v>
      </c>
      <c r="J1" s="2">
        <f t="shared" si="0"/>
        <v>36</v>
      </c>
      <c r="K1" s="2">
        <f t="shared" si="0"/>
        <v>37</v>
      </c>
      <c r="L1" s="2">
        <f t="shared" si="0"/>
        <v>38</v>
      </c>
      <c r="M1" s="2">
        <f t="shared" si="0"/>
        <v>39</v>
      </c>
      <c r="N1" s="2">
        <f t="shared" si="0"/>
        <v>40</v>
      </c>
      <c r="O1" s="2">
        <f t="shared" si="0"/>
        <v>41</v>
      </c>
      <c r="P1" s="2">
        <f t="shared" si="0"/>
        <v>42</v>
      </c>
      <c r="Q1" s="2">
        <f t="shared" si="0"/>
        <v>43</v>
      </c>
      <c r="R1" s="2">
        <f t="shared" si="0"/>
        <v>44</v>
      </c>
      <c r="S1" s="2">
        <f t="shared" si="0"/>
        <v>45</v>
      </c>
      <c r="T1" s="2">
        <f t="shared" si="0"/>
        <v>46</v>
      </c>
      <c r="U1" s="2">
        <f t="shared" si="0"/>
        <v>47</v>
      </c>
      <c r="V1" s="2">
        <f t="shared" si="0"/>
        <v>48</v>
      </c>
      <c r="W1" s="2">
        <f t="shared" si="0"/>
        <v>49</v>
      </c>
      <c r="X1" s="2">
        <f t="shared" si="0"/>
        <v>50</v>
      </c>
      <c r="Y1" s="2">
        <f t="shared" si="0"/>
        <v>51</v>
      </c>
      <c r="Z1" s="2">
        <f t="shared" si="0"/>
        <v>52</v>
      </c>
      <c r="AA1" s="2">
        <v>1</v>
      </c>
      <c r="AB1" s="2">
        <f>AA1+1</f>
        <v>2</v>
      </c>
      <c r="AC1" s="2">
        <f t="shared" si="0"/>
        <v>3</v>
      </c>
      <c r="AD1" s="2">
        <f t="shared" si="0"/>
        <v>4</v>
      </c>
      <c r="AE1" s="2">
        <f t="shared" si="0"/>
        <v>5</v>
      </c>
      <c r="AF1" s="2">
        <f t="shared" si="0"/>
        <v>6</v>
      </c>
      <c r="AG1" s="2">
        <f t="shared" si="0"/>
        <v>7</v>
      </c>
      <c r="AH1" s="2">
        <f t="shared" si="0"/>
        <v>8</v>
      </c>
      <c r="AI1" s="2">
        <f t="shared" si="0"/>
        <v>9</v>
      </c>
      <c r="AJ1" s="2">
        <f t="shared" si="0"/>
        <v>10</v>
      </c>
    </row>
    <row r="2" spans="1:36" ht="18" x14ac:dyDescent="0.3">
      <c r="A2" s="9" t="s">
        <v>6</v>
      </c>
      <c r="B2" s="1" t="s">
        <v>0</v>
      </c>
      <c r="C2" s="3">
        <v>46216</v>
      </c>
      <c r="D2" s="3">
        <f>C2+7</f>
        <v>46223</v>
      </c>
      <c r="E2" s="3">
        <f t="shared" ref="E2:AJ2" si="1">D2+7</f>
        <v>46230</v>
      </c>
      <c r="F2" s="3">
        <f t="shared" si="1"/>
        <v>46237</v>
      </c>
      <c r="G2" s="3">
        <f t="shared" si="1"/>
        <v>46244</v>
      </c>
      <c r="H2" s="3">
        <f t="shared" si="1"/>
        <v>46251</v>
      </c>
      <c r="I2" s="3">
        <f t="shared" si="1"/>
        <v>46258</v>
      </c>
      <c r="J2" s="3">
        <f t="shared" si="1"/>
        <v>46265</v>
      </c>
      <c r="K2" s="3">
        <f t="shared" si="1"/>
        <v>46272</v>
      </c>
      <c r="L2" s="3">
        <f t="shared" si="1"/>
        <v>46279</v>
      </c>
      <c r="M2" s="3">
        <f t="shared" si="1"/>
        <v>46286</v>
      </c>
      <c r="N2" s="3">
        <f t="shared" si="1"/>
        <v>46293</v>
      </c>
      <c r="O2" s="3">
        <f t="shared" si="1"/>
        <v>46300</v>
      </c>
      <c r="P2" s="3">
        <f t="shared" si="1"/>
        <v>46307</v>
      </c>
      <c r="Q2" s="3">
        <f t="shared" si="1"/>
        <v>46314</v>
      </c>
      <c r="R2" s="3">
        <f t="shared" si="1"/>
        <v>46321</v>
      </c>
      <c r="S2" s="3">
        <f t="shared" si="1"/>
        <v>46328</v>
      </c>
      <c r="T2" s="3">
        <f t="shared" si="1"/>
        <v>46335</v>
      </c>
      <c r="U2" s="3">
        <f t="shared" si="1"/>
        <v>46342</v>
      </c>
      <c r="V2" s="3">
        <f t="shared" si="1"/>
        <v>46349</v>
      </c>
      <c r="W2" s="3">
        <f t="shared" si="1"/>
        <v>46356</v>
      </c>
      <c r="X2" s="3">
        <f t="shared" si="1"/>
        <v>46363</v>
      </c>
      <c r="Y2" s="3">
        <f t="shared" si="1"/>
        <v>46370</v>
      </c>
      <c r="Z2" s="3">
        <f t="shared" si="1"/>
        <v>46377</v>
      </c>
      <c r="AA2" s="3">
        <f t="shared" si="1"/>
        <v>46384</v>
      </c>
      <c r="AB2" s="3">
        <f t="shared" si="1"/>
        <v>46391</v>
      </c>
      <c r="AC2" s="3">
        <f t="shared" si="1"/>
        <v>46398</v>
      </c>
      <c r="AD2" s="3">
        <f t="shared" si="1"/>
        <v>46405</v>
      </c>
      <c r="AE2" s="3">
        <f t="shared" si="1"/>
        <v>46412</v>
      </c>
      <c r="AF2" s="3">
        <f t="shared" si="1"/>
        <v>46419</v>
      </c>
      <c r="AG2" s="3">
        <f t="shared" si="1"/>
        <v>46426</v>
      </c>
      <c r="AH2" s="3">
        <f t="shared" si="1"/>
        <v>46433</v>
      </c>
      <c r="AI2" s="3">
        <f t="shared" si="1"/>
        <v>46440</v>
      </c>
      <c r="AJ2" s="3">
        <f t="shared" si="1"/>
        <v>46447</v>
      </c>
    </row>
    <row r="3" spans="1:36" ht="21" customHeight="1" x14ac:dyDescent="0.3">
      <c r="A3" s="18">
        <v>2018</v>
      </c>
      <c r="B3" s="10" t="s">
        <v>1</v>
      </c>
      <c r="C3" s="21">
        <v>0</v>
      </c>
      <c r="D3" s="21">
        <v>21000</v>
      </c>
      <c r="E3" s="21">
        <v>18000</v>
      </c>
      <c r="F3" s="21">
        <v>0</v>
      </c>
      <c r="G3" s="21">
        <v>12000</v>
      </c>
      <c r="H3" s="21">
        <v>0</v>
      </c>
      <c r="I3" s="21">
        <v>24000</v>
      </c>
      <c r="J3" s="21">
        <v>0</v>
      </c>
      <c r="K3" s="21">
        <v>20000</v>
      </c>
      <c r="L3" s="21">
        <v>20000</v>
      </c>
      <c r="M3" s="21">
        <v>0</v>
      </c>
      <c r="N3" s="21">
        <v>20000</v>
      </c>
      <c r="O3" s="21">
        <v>0</v>
      </c>
      <c r="P3" s="21">
        <v>0</v>
      </c>
      <c r="Q3" s="21">
        <v>20000</v>
      </c>
      <c r="R3" s="21">
        <v>10000</v>
      </c>
      <c r="S3" s="21">
        <v>0</v>
      </c>
      <c r="T3" s="22">
        <v>10000</v>
      </c>
      <c r="U3" s="21">
        <v>10000</v>
      </c>
      <c r="V3" s="21">
        <v>20000</v>
      </c>
      <c r="W3" s="21">
        <v>10000</v>
      </c>
      <c r="X3" s="21">
        <v>10000</v>
      </c>
      <c r="Y3" s="21">
        <v>20000</v>
      </c>
      <c r="Z3" s="21">
        <v>10000</v>
      </c>
      <c r="AA3" s="21">
        <v>10000</v>
      </c>
      <c r="AB3" s="21">
        <v>20000</v>
      </c>
      <c r="AC3" s="21">
        <v>20000</v>
      </c>
      <c r="AD3" s="21">
        <v>10000</v>
      </c>
      <c r="AE3" s="21">
        <v>10000</v>
      </c>
      <c r="AF3" s="21">
        <v>0</v>
      </c>
      <c r="AG3" s="21">
        <v>20000</v>
      </c>
      <c r="AH3" s="21">
        <v>0</v>
      </c>
      <c r="AI3" s="21">
        <v>10000</v>
      </c>
      <c r="AJ3" s="21">
        <v>20000</v>
      </c>
    </row>
    <row r="4" spans="1:36" ht="21" x14ac:dyDescent="0.3">
      <c r="A4" s="19"/>
      <c r="B4" s="10" t="s">
        <v>2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</row>
    <row r="5" spans="1:36" ht="21" x14ac:dyDescent="0.3">
      <c r="A5" s="19"/>
      <c r="B5" s="10">
        <v>17898001104</v>
      </c>
      <c r="C5" s="21">
        <v>0</v>
      </c>
      <c r="D5" s="21">
        <v>0</v>
      </c>
      <c r="E5" s="21">
        <v>0</v>
      </c>
      <c r="F5" s="21">
        <v>0</v>
      </c>
      <c r="G5" s="21">
        <v>30000</v>
      </c>
      <c r="H5" s="21">
        <v>39000</v>
      </c>
      <c r="I5" s="21">
        <v>0</v>
      </c>
      <c r="J5" s="21">
        <v>0</v>
      </c>
      <c r="K5" s="21">
        <v>36000</v>
      </c>
      <c r="L5" s="21">
        <v>36000</v>
      </c>
      <c r="M5" s="21">
        <v>33000</v>
      </c>
      <c r="N5" s="21">
        <v>36000</v>
      </c>
      <c r="O5" s="21">
        <v>0</v>
      </c>
      <c r="P5" s="21">
        <v>0</v>
      </c>
      <c r="Q5" s="21">
        <v>24000</v>
      </c>
      <c r="R5" s="21">
        <v>0</v>
      </c>
      <c r="S5" s="21">
        <v>36000</v>
      </c>
      <c r="T5" s="21">
        <v>36000</v>
      </c>
      <c r="U5" s="21">
        <v>36000</v>
      </c>
      <c r="V5" s="21">
        <v>36000</v>
      </c>
      <c r="W5" s="21">
        <v>0</v>
      </c>
      <c r="X5" s="21">
        <v>0</v>
      </c>
      <c r="Y5" s="21">
        <v>0</v>
      </c>
      <c r="Z5" s="21">
        <v>0</v>
      </c>
      <c r="AA5" s="21">
        <v>36000</v>
      </c>
      <c r="AB5" s="21">
        <v>0</v>
      </c>
      <c r="AC5" s="21">
        <v>0</v>
      </c>
      <c r="AD5" s="21">
        <v>0</v>
      </c>
      <c r="AE5" s="21">
        <v>27000</v>
      </c>
      <c r="AF5" s="21">
        <v>0</v>
      </c>
      <c r="AG5" s="21">
        <v>45000</v>
      </c>
      <c r="AH5" s="21">
        <v>0</v>
      </c>
      <c r="AI5" s="21">
        <v>0</v>
      </c>
      <c r="AJ5" s="21">
        <v>0</v>
      </c>
    </row>
    <row r="6" spans="1:36" ht="21" x14ac:dyDescent="0.3">
      <c r="A6" s="19"/>
      <c r="B6" s="11" t="s">
        <v>3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6000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10000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6000</v>
      </c>
      <c r="Y6" s="21">
        <v>0</v>
      </c>
      <c r="Z6" s="21">
        <v>0</v>
      </c>
      <c r="AA6" s="21">
        <v>0</v>
      </c>
      <c r="AB6" s="21">
        <v>6000</v>
      </c>
      <c r="AC6" s="21">
        <v>0</v>
      </c>
      <c r="AD6" s="21">
        <v>0</v>
      </c>
      <c r="AE6" s="21">
        <v>0</v>
      </c>
      <c r="AF6" s="21">
        <v>6000</v>
      </c>
      <c r="AG6" s="21">
        <v>0</v>
      </c>
      <c r="AH6" s="21">
        <v>0</v>
      </c>
      <c r="AI6" s="21">
        <v>0</v>
      </c>
      <c r="AJ6" s="21">
        <v>0</v>
      </c>
    </row>
    <row r="7" spans="1:36" ht="21" x14ac:dyDescent="0.3">
      <c r="A7" s="19"/>
      <c r="B7" s="11" t="s">
        <v>4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3000</v>
      </c>
      <c r="AH7" s="21">
        <v>0</v>
      </c>
      <c r="AI7" s="21">
        <v>0</v>
      </c>
      <c r="AJ7" s="21">
        <v>0</v>
      </c>
    </row>
    <row r="8" spans="1:36" ht="21" x14ac:dyDescent="0.3">
      <c r="A8" s="19"/>
      <c r="B8" s="11" t="s">
        <v>30</v>
      </c>
      <c r="C8" s="21">
        <v>0</v>
      </c>
      <c r="D8" s="21">
        <v>15000</v>
      </c>
      <c r="E8" s="21">
        <v>6000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6000</v>
      </c>
      <c r="O8" s="21">
        <v>0</v>
      </c>
      <c r="P8" s="21">
        <v>0</v>
      </c>
      <c r="Q8" s="21">
        <v>6000</v>
      </c>
      <c r="R8" s="21">
        <v>0</v>
      </c>
      <c r="S8" s="21">
        <v>12000</v>
      </c>
      <c r="T8" s="21">
        <v>0</v>
      </c>
      <c r="U8" s="21">
        <v>0</v>
      </c>
      <c r="V8" s="21">
        <v>0</v>
      </c>
      <c r="W8" s="21">
        <v>0</v>
      </c>
      <c r="X8" s="21">
        <v>6000</v>
      </c>
      <c r="Y8" s="21">
        <v>0</v>
      </c>
      <c r="Z8" s="21">
        <v>0</v>
      </c>
      <c r="AA8" s="21">
        <v>0</v>
      </c>
      <c r="AB8" s="21">
        <v>6000</v>
      </c>
      <c r="AC8" s="21">
        <v>6000</v>
      </c>
      <c r="AD8" s="21">
        <v>0</v>
      </c>
      <c r="AE8" s="21">
        <v>0</v>
      </c>
      <c r="AF8" s="21">
        <v>0</v>
      </c>
      <c r="AG8" s="21">
        <v>3000</v>
      </c>
      <c r="AH8" s="21">
        <v>0</v>
      </c>
      <c r="AI8" s="21">
        <v>0</v>
      </c>
      <c r="AJ8" s="21">
        <v>0</v>
      </c>
    </row>
    <row r="9" spans="1:36" ht="20.399999999999999" customHeight="1" x14ac:dyDescent="0.3">
      <c r="A9" s="20"/>
      <c r="B9" s="11" t="s">
        <v>5</v>
      </c>
      <c r="C9" s="21">
        <v>0</v>
      </c>
      <c r="D9" s="21">
        <v>0</v>
      </c>
      <c r="E9" s="21">
        <v>5000</v>
      </c>
      <c r="F9" s="21">
        <v>30000</v>
      </c>
      <c r="G9" s="21">
        <v>0</v>
      </c>
      <c r="H9" s="21">
        <v>0</v>
      </c>
      <c r="I9" s="21">
        <v>0</v>
      </c>
      <c r="J9" s="21">
        <v>18000</v>
      </c>
      <c r="K9" s="21">
        <v>18000</v>
      </c>
      <c r="L9" s="21">
        <v>18000</v>
      </c>
      <c r="M9" s="21">
        <v>18000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12000</v>
      </c>
      <c r="U9" s="21">
        <v>0</v>
      </c>
      <c r="V9" s="21">
        <v>0</v>
      </c>
      <c r="W9" s="21">
        <v>0</v>
      </c>
      <c r="X9" s="21">
        <v>18000</v>
      </c>
      <c r="Y9" s="21">
        <v>0</v>
      </c>
      <c r="Z9" s="21">
        <v>0</v>
      </c>
      <c r="AA9" s="21">
        <v>0</v>
      </c>
      <c r="AB9" s="21">
        <v>18000</v>
      </c>
      <c r="AC9" s="21">
        <v>0</v>
      </c>
      <c r="AD9" s="21">
        <v>0</v>
      </c>
      <c r="AE9" s="21">
        <v>0</v>
      </c>
      <c r="AF9" s="21">
        <v>18000</v>
      </c>
      <c r="AG9" s="21">
        <v>0</v>
      </c>
      <c r="AH9" s="21">
        <v>0</v>
      </c>
      <c r="AI9" s="21">
        <v>0</v>
      </c>
      <c r="AJ9" s="21">
        <v>0</v>
      </c>
    </row>
    <row r="10" spans="1:36" ht="21" x14ac:dyDescent="0.3">
      <c r="A10" s="4">
        <v>82000000458</v>
      </c>
      <c r="B10" s="11">
        <v>17891005101</v>
      </c>
      <c r="C10" s="21">
        <v>41000</v>
      </c>
      <c r="D10" s="21">
        <v>41000</v>
      </c>
      <c r="E10" s="21">
        <v>40000</v>
      </c>
      <c r="F10" s="21">
        <v>40000</v>
      </c>
      <c r="G10" s="21">
        <v>21000</v>
      </c>
      <c r="H10" s="21">
        <v>35000</v>
      </c>
      <c r="I10" s="21">
        <v>21000</v>
      </c>
      <c r="J10" s="21">
        <v>25000</v>
      </c>
      <c r="K10" s="21">
        <v>25000</v>
      </c>
      <c r="L10" s="21">
        <v>25000</v>
      </c>
      <c r="M10" s="21">
        <v>25000</v>
      </c>
      <c r="N10" s="21">
        <v>25000</v>
      </c>
      <c r="O10" s="21">
        <v>40000</v>
      </c>
      <c r="P10" s="21">
        <v>30000</v>
      </c>
      <c r="Q10" s="21">
        <v>30000</v>
      </c>
      <c r="R10" s="21">
        <v>30000</v>
      </c>
      <c r="S10" s="21">
        <v>30000</v>
      </c>
      <c r="T10" s="21">
        <v>30000</v>
      </c>
      <c r="U10" s="21">
        <v>0</v>
      </c>
      <c r="V10" s="21">
        <v>30000</v>
      </c>
      <c r="W10" s="21">
        <v>30000</v>
      </c>
      <c r="X10" s="21">
        <v>21000</v>
      </c>
      <c r="Y10" s="21">
        <v>21000</v>
      </c>
      <c r="Z10" s="21">
        <v>21000</v>
      </c>
      <c r="AA10" s="21">
        <v>21000</v>
      </c>
      <c r="AB10" s="21">
        <v>21000</v>
      </c>
      <c r="AC10" s="21">
        <v>21000</v>
      </c>
      <c r="AD10" s="21">
        <v>21000</v>
      </c>
      <c r="AE10" s="21">
        <v>21000</v>
      </c>
      <c r="AF10" s="21">
        <v>21000</v>
      </c>
      <c r="AG10" s="21">
        <v>21000</v>
      </c>
      <c r="AH10" s="21">
        <v>21000</v>
      </c>
      <c r="AI10" s="21">
        <v>21000</v>
      </c>
      <c r="AJ10" s="21">
        <v>21000</v>
      </c>
    </row>
    <row r="11" spans="1:36" ht="21" x14ac:dyDescent="0.3">
      <c r="A11" s="4">
        <v>82000000656</v>
      </c>
      <c r="B11" s="11">
        <v>17891007101</v>
      </c>
      <c r="C11" s="23">
        <v>14000</v>
      </c>
      <c r="D11" s="23">
        <v>35000</v>
      </c>
      <c r="E11" s="23">
        <v>35000</v>
      </c>
      <c r="F11" s="23">
        <v>35000</v>
      </c>
      <c r="G11" s="23">
        <v>35000</v>
      </c>
      <c r="H11" s="23">
        <v>35000</v>
      </c>
      <c r="I11" s="23">
        <v>35000</v>
      </c>
      <c r="J11" s="23">
        <v>35000</v>
      </c>
      <c r="K11" s="23">
        <v>30000</v>
      </c>
      <c r="L11" s="23">
        <v>30000</v>
      </c>
      <c r="M11" s="23">
        <v>40000</v>
      </c>
      <c r="N11" s="23">
        <v>40000</v>
      </c>
      <c r="O11" s="23">
        <v>21000</v>
      </c>
      <c r="P11" s="23">
        <v>30000</v>
      </c>
      <c r="Q11" s="23">
        <v>21000</v>
      </c>
      <c r="R11" s="23">
        <v>21000</v>
      </c>
      <c r="S11" s="23">
        <v>21000</v>
      </c>
      <c r="T11" s="23">
        <v>21000</v>
      </c>
      <c r="U11" s="23">
        <v>21000</v>
      </c>
      <c r="V11" s="23">
        <v>21000</v>
      </c>
      <c r="W11" s="23">
        <v>21000</v>
      </c>
      <c r="X11" s="23">
        <v>30000</v>
      </c>
      <c r="Y11" s="23">
        <v>21000</v>
      </c>
      <c r="Z11" s="23">
        <v>25000</v>
      </c>
      <c r="AA11" s="23">
        <v>25000</v>
      </c>
      <c r="AB11" s="23">
        <v>25000</v>
      </c>
      <c r="AC11" s="23">
        <v>25000</v>
      </c>
      <c r="AD11" s="23">
        <v>25000</v>
      </c>
      <c r="AE11" s="23">
        <v>25000</v>
      </c>
      <c r="AF11" s="23">
        <v>25000</v>
      </c>
      <c r="AG11" s="23">
        <v>25000</v>
      </c>
      <c r="AH11" s="23">
        <v>25000</v>
      </c>
      <c r="AI11" s="23">
        <v>25000</v>
      </c>
      <c r="AJ11" s="23">
        <v>25000</v>
      </c>
    </row>
    <row r="12" spans="1:36" ht="18" customHeight="1" x14ac:dyDescent="0.3">
      <c r="B12" s="13"/>
    </row>
    <row r="13" spans="1:36" ht="14.4" customHeight="1" x14ac:dyDescent="0.3">
      <c r="B13" s="14"/>
    </row>
    <row r="14" spans="1:36" ht="14.4" customHeight="1" x14ac:dyDescent="0.3">
      <c r="B14" s="15" t="s">
        <v>28</v>
      </c>
    </row>
    <row r="15" spans="1:36" ht="14.4" customHeight="1" x14ac:dyDescent="0.3">
      <c r="B15" s="16" t="s">
        <v>29</v>
      </c>
    </row>
  </sheetData>
  <mergeCells count="1">
    <mergeCell ref="A3:A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136865-7486-4c1a-85e1-7881965c80f1}" enabled="1" method="Standard" siteId="{45822621-0c35-4772-b610-0387c186eeb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Grupo quell</vt:lpstr>
      <vt:lpstr>Grupo quell W29</vt:lpstr>
    </vt:vector>
  </TitlesOfParts>
  <Manager/>
  <Company>NORMA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Rodriguez, Ofilia</dc:creator>
  <cp:keywords/>
  <dc:description/>
  <cp:lastModifiedBy>Mendoza, Estefany</cp:lastModifiedBy>
  <cp:revision/>
  <dcterms:created xsi:type="dcterms:W3CDTF">2026-03-24T18:27:48Z</dcterms:created>
  <dcterms:modified xsi:type="dcterms:W3CDTF">2026-07-13T22:42:44Z</dcterms:modified>
  <cp:category/>
  <cp:contentStatus/>
</cp:coreProperties>
</file>