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66925"/>
  <mc:AlternateContent xmlns:mc="http://schemas.openxmlformats.org/markup-compatibility/2006">
    <mc:Choice Requires="x15">
      <x15ac:absPath xmlns:x15ac="http://schemas.microsoft.com/office/spreadsheetml/2010/11/ac" url="https://aithermal2-my.sharepoint.com/personal/jalvarado_ai-thermal_com/Documents/Desktop/01/01. Suppliers/04. Mexican/13. Grupo Quell/02. Release/"/>
    </mc:Choice>
  </mc:AlternateContent>
  <xr:revisionPtr revIDLastSave="2295" documentId="13_ncr:1_{65A6B219-932E-44BC-8853-42358AE019EE}" xr6:coauthVersionLast="47" xr6:coauthVersionMax="47" xr10:uidLastSave="{455CDBDE-2412-4956-8A63-D4EC163C3994}"/>
  <bookViews>
    <workbookView xWindow="-108" yWindow="-108" windowWidth="23256" windowHeight="12456" xr2:uid="{95F35840-2627-402D-A238-D4A2C5CE9900}"/>
  </bookViews>
  <sheets>
    <sheet name="Schedule" sheetId="1" r:id="rId1"/>
    <sheet name="Sheet1" sheetId="3" state="hidden" r:id="rId2"/>
    <sheet name="Conciliation " sheetId="2" state="hidden" r:id="rId3"/>
  </sheets>
  <definedNames>
    <definedName name="_xlnm._FilterDatabase" localSheetId="0" hidden="1">Schedule!$B$6:$D$16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Q5" i="1" l="1"/>
  <c r="ER5" i="1" s="1"/>
  <c r="ES5" i="1" s="1"/>
  <c r="ET5" i="1" s="1"/>
  <c r="EU5" i="1" s="1"/>
  <c r="EV5" i="1" s="1"/>
  <c r="EW5" i="1" s="1"/>
  <c r="EX5" i="1" s="1"/>
  <c r="EY5" i="1" s="1"/>
  <c r="EZ5" i="1" s="1"/>
  <c r="FA5" i="1" s="1"/>
  <c r="EQ10" i="1"/>
  <c r="ER10" i="1"/>
  <c r="ES10" i="1"/>
  <c r="ET10" i="1"/>
  <c r="EU10" i="1"/>
  <c r="EV10" i="1"/>
  <c r="EW10" i="1"/>
  <c r="EX10" i="1"/>
  <c r="EY10" i="1"/>
  <c r="EZ10" i="1"/>
  <c r="FA10" i="1"/>
  <c r="EQ16" i="1"/>
  <c r="ER16" i="1"/>
  <c r="ES16" i="1"/>
  <c r="ET16" i="1"/>
  <c r="EU16" i="1"/>
  <c r="EV16" i="1"/>
  <c r="EW16" i="1"/>
  <c r="EX16" i="1"/>
  <c r="EY16" i="1"/>
  <c r="EZ16" i="1"/>
  <c r="FA16" i="1"/>
  <c r="DK12" i="1"/>
  <c r="DK16" i="1" s="1"/>
  <c r="DF16" i="1"/>
  <c r="DG16" i="1"/>
  <c r="DH16" i="1"/>
  <c r="DJ16" i="1"/>
  <c r="DL16" i="1"/>
  <c r="DE16" i="1"/>
  <c r="DG10" i="1"/>
  <c r="DJ10" i="1" l="1"/>
  <c r="DF10" i="1"/>
  <c r="DE10" i="1"/>
  <c r="DH10" i="1"/>
  <c r="DF11" i="1"/>
  <c r="AE10" i="1"/>
  <c r="AF10" i="1"/>
  <c r="AG10" i="1"/>
  <c r="BL10" i="1"/>
  <c r="BN10" i="1"/>
  <c r="BO10" i="1"/>
  <c r="BP10" i="1"/>
  <c r="BQ10" i="1"/>
  <c r="CN10" i="1"/>
  <c r="E10" i="1"/>
  <c r="F10" i="1" s="1"/>
  <c r="G10" i="1" s="1"/>
  <c r="H10" i="1" s="1"/>
  <c r="I10" i="1" s="1"/>
  <c r="J10" i="1" s="1"/>
  <c r="K10" i="1" s="1"/>
  <c r="L10" i="1" s="1"/>
  <c r="M10" i="1" s="1"/>
  <c r="N10" i="1" s="1"/>
  <c r="O10" i="1" s="1"/>
  <c r="P10" i="1" s="1"/>
  <c r="Q10" i="1" s="1"/>
  <c r="R10" i="1" s="1"/>
  <c r="S10" i="1" s="1"/>
  <c r="T10" i="1" s="1"/>
  <c r="U10" i="1" s="1"/>
  <c r="E11" i="1"/>
  <c r="F11" i="1" s="1"/>
  <c r="G11" i="1" s="1"/>
  <c r="H11" i="1" s="1"/>
  <c r="I11" i="1" s="1"/>
  <c r="J11" i="1" s="1"/>
  <c r="K11" i="1" s="1"/>
  <c r="L11" i="1" s="1"/>
  <c r="M11" i="1" s="1"/>
  <c r="N11" i="1" s="1"/>
  <c r="O11" i="1" s="1"/>
  <c r="P11" i="1" s="1"/>
  <c r="Q11" i="1" s="1"/>
  <c r="R11" i="1" s="1"/>
  <c r="S11" i="1" s="1"/>
  <c r="T11" i="1" s="1"/>
  <c r="U11" i="1" s="1"/>
  <c r="V11" i="1" s="1"/>
  <c r="W11" i="1" s="1"/>
  <c r="X11" i="1" s="1"/>
  <c r="Y11" i="1" s="1"/>
  <c r="Z11" i="1" s="1"/>
  <c r="AA11" i="1" s="1"/>
  <c r="AB11" i="1" s="1"/>
  <c r="AC11" i="1" s="1"/>
  <c r="AD11" i="1" s="1"/>
  <c r="AE11" i="1" s="1"/>
  <c r="AF11" i="1" s="1"/>
  <c r="AG11" i="1" s="1"/>
  <c r="AH11" i="1" s="1"/>
  <c r="AI11" i="1" s="1"/>
  <c r="AJ11" i="1" s="1"/>
  <c r="AK11" i="1" s="1"/>
  <c r="AL11" i="1" s="1"/>
  <c r="AM11" i="1" s="1"/>
  <c r="AN11" i="1" s="1"/>
  <c r="AO11" i="1" s="1"/>
  <c r="AP11" i="1" s="1"/>
  <c r="AQ11" i="1" s="1"/>
  <c r="AR11" i="1" s="1"/>
  <c r="AS11" i="1" s="1"/>
  <c r="AT11" i="1" s="1"/>
  <c r="AU11" i="1" s="1"/>
  <c r="AV11" i="1" s="1"/>
  <c r="AW11" i="1" s="1"/>
  <c r="AX11" i="1" s="1"/>
  <c r="AY11" i="1" s="1"/>
  <c r="AZ11" i="1" s="1"/>
  <c r="BA11" i="1" s="1"/>
  <c r="BB11" i="1" s="1"/>
  <c r="BC11" i="1" s="1"/>
  <c r="BD11" i="1" s="1"/>
  <c r="BE11" i="1" s="1"/>
  <c r="BF11" i="1" s="1"/>
  <c r="BG11" i="1" s="1"/>
  <c r="BH11" i="1" s="1"/>
  <c r="BI11" i="1" s="1"/>
  <c r="BJ11" i="1" s="1"/>
  <c r="BJ12" i="1" s="1"/>
  <c r="BL11" i="1"/>
  <c r="BM11" i="1" s="1"/>
  <c r="BN11" i="1" s="1"/>
  <c r="BO11" i="1" s="1"/>
  <c r="BP11" i="1" s="1"/>
  <c r="CN11" i="1"/>
  <c r="CO10" i="1" s="1"/>
  <c r="CO11" i="1"/>
  <c r="CP10" i="1" s="1"/>
  <c r="CP11" i="1"/>
  <c r="CQ11" i="1" s="1"/>
  <c r="DM16" i="1"/>
  <c r="DN16" i="1"/>
  <c r="DO16" i="1"/>
  <c r="DP16" i="1"/>
  <c r="DQ16" i="1"/>
  <c r="DR16" i="1"/>
  <c r="DS16" i="1"/>
  <c r="DT16" i="1"/>
  <c r="DU16" i="1"/>
  <c r="DV16" i="1"/>
  <c r="DW16" i="1"/>
  <c r="DX16" i="1"/>
  <c r="DY16" i="1"/>
  <c r="DZ16" i="1"/>
  <c r="EA16" i="1"/>
  <c r="EB16" i="1"/>
  <c r="EC16" i="1"/>
  <c r="ED16" i="1"/>
  <c r="EE16" i="1"/>
  <c r="EF16" i="1"/>
  <c r="EG16" i="1"/>
  <c r="EH16" i="1"/>
  <c r="EI16" i="1"/>
  <c r="EJ16" i="1"/>
  <c r="EK16" i="1"/>
  <c r="EL16" i="1"/>
  <c r="EM16" i="1"/>
  <c r="EN16" i="1"/>
  <c r="EO16" i="1"/>
  <c r="EP16" i="1"/>
  <c r="AH8" i="1"/>
  <c r="E16" i="1"/>
  <c r="F16" i="1" s="1"/>
  <c r="G16" i="1" s="1"/>
  <c r="H16" i="1" s="1"/>
  <c r="I16" i="1" s="1"/>
  <c r="J16" i="1" s="1"/>
  <c r="K16" i="1" s="1"/>
  <c r="L16" i="1" s="1"/>
  <c r="M16" i="1" s="1"/>
  <c r="N16" i="1" s="1"/>
  <c r="O16" i="1" s="1"/>
  <c r="P16" i="1" s="1"/>
  <c r="Q16" i="1" s="1"/>
  <c r="R16" i="1" s="1"/>
  <c r="S16" i="1" s="1"/>
  <c r="T16" i="1" s="1"/>
  <c r="U16" i="1" s="1"/>
  <c r="V16" i="1" s="1"/>
  <c r="W16" i="1" s="1"/>
  <c r="X16" i="1" s="1"/>
  <c r="Y16" i="1" s="1"/>
  <c r="Z16" i="1" s="1"/>
  <c r="AA16" i="1" s="1"/>
  <c r="AB16" i="1" s="1"/>
  <c r="AC16" i="1" s="1"/>
  <c r="AD16" i="1" s="1"/>
  <c r="AE16" i="1" s="1"/>
  <c r="AF16" i="1" s="1"/>
  <c r="AG16" i="1" s="1"/>
  <c r="AH16" i="1" s="1"/>
  <c r="AI16" i="1" s="1"/>
  <c r="AJ16" i="1" s="1"/>
  <c r="AK16" i="1" s="1"/>
  <c r="AL16" i="1" s="1"/>
  <c r="AM16" i="1" s="1"/>
  <c r="AN16" i="1" s="1"/>
  <c r="AO16" i="1" s="1"/>
  <c r="AP16" i="1" s="1"/>
  <c r="AQ16" i="1" s="1"/>
  <c r="AR16" i="1" s="1"/>
  <c r="AS16" i="1" s="1"/>
  <c r="AT16" i="1" s="1"/>
  <c r="AU16" i="1" s="1"/>
  <c r="AV16" i="1" s="1"/>
  <c r="AW16" i="1" s="1"/>
  <c r="AX16" i="1" s="1"/>
  <c r="AY16" i="1" s="1"/>
  <c r="AZ16" i="1" s="1"/>
  <c r="BA16" i="1" s="1"/>
  <c r="BB16" i="1" s="1"/>
  <c r="BC16" i="1" s="1"/>
  <c r="BD16" i="1" s="1"/>
  <c r="BE16" i="1" s="1"/>
  <c r="BF16" i="1" s="1"/>
  <c r="BG16" i="1" s="1"/>
  <c r="BH16" i="1" s="1"/>
  <c r="BI16" i="1" s="1"/>
  <c r="BW5" i="1"/>
  <c r="BX5" i="1" s="1"/>
  <c r="BY5" i="1" s="1"/>
  <c r="BZ5" i="1" s="1"/>
  <c r="CA5" i="1" s="1"/>
  <c r="CB5" i="1" s="1"/>
  <c r="CC5" i="1" s="1"/>
  <c r="CD5" i="1" s="1"/>
  <c r="CE5" i="1" s="1"/>
  <c r="CF5" i="1" s="1"/>
  <c r="CG5" i="1" s="1"/>
  <c r="CH5" i="1" s="1"/>
  <c r="CI5" i="1" s="1"/>
  <c r="CJ5" i="1" s="1"/>
  <c r="CK5" i="1" s="1"/>
  <c r="CL5" i="1" s="1"/>
  <c r="CM5" i="1" s="1"/>
  <c r="BQ8" i="1"/>
  <c r="BT8" i="1"/>
  <c r="BU8" i="1"/>
  <c r="BV8" i="1"/>
  <c r="BV10" i="1" s="1"/>
  <c r="BY8" i="1"/>
  <c r="CC8" i="1"/>
  <c r="BT14" i="1"/>
  <c r="BU14" i="1"/>
  <c r="BW14" i="1"/>
  <c r="BZ14" i="1"/>
  <c r="CA14" i="1"/>
  <c r="CG14" i="1"/>
  <c r="CN16" i="1"/>
  <c r="AD10" i="1" l="1"/>
  <c r="AC10" i="1"/>
  <c r="X10" i="1"/>
  <c r="BQ11" i="1"/>
  <c r="AP10" i="1"/>
  <c r="AU10" i="1"/>
  <c r="AT10" i="1"/>
  <c r="AS10" i="1"/>
  <c r="BA10" i="1"/>
  <c r="AV10" i="1"/>
  <c r="AJ10" i="1"/>
  <c r="BG10" i="1"/>
  <c r="AQ10" i="1"/>
  <c r="W10" i="1"/>
  <c r="V10" i="1"/>
  <c r="BF10" i="1"/>
  <c r="BE10" i="1"/>
  <c r="AO10" i="1"/>
  <c r="BD10" i="1"/>
  <c r="BC10" i="1"/>
  <c r="AI10" i="1"/>
  <c r="BH10" i="1"/>
  <c r="AR10" i="1"/>
  <c r="BB10" i="1"/>
  <c r="AH10" i="1"/>
  <c r="CR11" i="1"/>
  <c r="CR10" i="1"/>
  <c r="BV11" i="1"/>
  <c r="CQ10" i="1"/>
  <c r="BM10" i="1"/>
  <c r="AA10" i="1"/>
  <c r="AZ10" i="1"/>
  <c r="AN10" i="1"/>
  <c r="AB10" i="1"/>
  <c r="BK10" i="1"/>
  <c r="AY10" i="1"/>
  <c r="AM10" i="1"/>
  <c r="BJ10" i="1"/>
  <c r="AX10" i="1"/>
  <c r="AL10" i="1"/>
  <c r="Z10" i="1"/>
  <c r="BI10" i="1"/>
  <c r="AW10" i="1"/>
  <c r="AK10" i="1"/>
  <c r="Y10" i="1"/>
  <c r="BJ16" i="1"/>
  <c r="BK16" i="1" s="1"/>
  <c r="BL16" i="1" s="1"/>
  <c r="BM16" i="1" s="1"/>
  <c r="BN16" i="1" s="1"/>
  <c r="BO16" i="1" s="1"/>
  <c r="BP16" i="1" s="1"/>
  <c r="BQ16" i="1" s="1"/>
  <c r="BR16" i="1" s="1"/>
  <c r="BS16" i="1" s="1"/>
  <c r="BT16" i="1" s="1"/>
  <c r="BU16" i="1" s="1"/>
  <c r="BV16" i="1" s="1"/>
  <c r="BW16" i="1" s="1"/>
  <c r="BX16" i="1" s="1"/>
  <c r="BY16" i="1" s="1"/>
  <c r="BZ16" i="1" s="1"/>
  <c r="CA16" i="1" s="1"/>
  <c r="CB16" i="1" s="1"/>
  <c r="CC16" i="1" s="1"/>
  <c r="CD16" i="1" s="1"/>
  <c r="CE16" i="1" s="1"/>
  <c r="CF16" i="1" s="1"/>
  <c r="CG16" i="1" s="1"/>
  <c r="CH16" i="1" s="1"/>
  <c r="CI16" i="1" s="1"/>
  <c r="CJ16" i="1" s="1"/>
  <c r="CK16" i="1" s="1"/>
  <c r="CL16" i="1" s="1"/>
  <c r="BR11" i="1" l="1"/>
  <c r="BR10" i="1"/>
  <c r="BW10" i="1"/>
  <c r="BW11" i="1"/>
  <c r="CS10" i="1"/>
  <c r="CS11" i="1"/>
  <c r="DI10" i="1"/>
  <c r="BS11" i="1" l="1"/>
  <c r="BS10" i="1"/>
  <c r="CT10" i="1"/>
  <c r="CT11" i="1"/>
  <c r="BX10" i="1"/>
  <c r="BX11" i="1"/>
  <c r="DK10" i="1"/>
  <c r="BT10" i="1" l="1"/>
  <c r="BT11" i="1"/>
  <c r="BU10" i="1" s="1"/>
  <c r="BY11" i="1"/>
  <c r="BY10" i="1"/>
  <c r="CU11" i="1"/>
  <c r="CU10" i="1"/>
  <c r="DL10" i="1"/>
  <c r="CV10" i="1" l="1"/>
  <c r="CV11" i="1"/>
  <c r="BZ11" i="1"/>
  <c r="BZ10" i="1"/>
  <c r="DM10" i="1"/>
  <c r="CA11" i="1" l="1"/>
  <c r="CA10" i="1"/>
  <c r="CW11" i="1"/>
  <c r="CW10" i="1"/>
  <c r="DN10" i="1"/>
  <c r="CX11" i="1" l="1"/>
  <c r="CX10" i="1"/>
  <c r="CB11" i="1"/>
  <c r="CB10" i="1"/>
  <c r="DO10" i="1"/>
  <c r="CY11" i="1" l="1"/>
  <c r="CY10" i="1"/>
  <c r="CC11" i="1"/>
  <c r="CC10" i="1"/>
  <c r="DP10" i="1"/>
  <c r="CD11" i="1" l="1"/>
  <c r="CD10" i="1"/>
  <c r="CZ11" i="1"/>
  <c r="CZ10" i="1"/>
  <c r="DQ10" i="1"/>
  <c r="DA11" i="1" l="1"/>
  <c r="DA10" i="1"/>
  <c r="CE11" i="1"/>
  <c r="CE10" i="1"/>
  <c r="DR10" i="1"/>
  <c r="DB11" i="1" l="1"/>
  <c r="DB10" i="1"/>
  <c r="CF11" i="1"/>
  <c r="CF10" i="1"/>
  <c r="DS10" i="1"/>
  <c r="DC11" i="1" l="1"/>
  <c r="DC10" i="1"/>
  <c r="CG10" i="1"/>
  <c r="CG11" i="1"/>
  <c r="DT10" i="1"/>
  <c r="DD11" i="1" l="1"/>
  <c r="DD10" i="1"/>
  <c r="DE11" i="1" s="1"/>
  <c r="CH11" i="1"/>
  <c r="CH10" i="1"/>
  <c r="DU10" i="1"/>
  <c r="CI11" i="1" l="1"/>
  <c r="CI10" i="1"/>
  <c r="DV10" i="1"/>
  <c r="CJ11" i="1" l="1"/>
  <c r="CJ10" i="1"/>
  <c r="DW10" i="1"/>
  <c r="CK11" i="1" l="1"/>
  <c r="CK10" i="1"/>
  <c r="DX10" i="1"/>
  <c r="CL11" i="1" l="1"/>
  <c r="CM10" i="1" s="1"/>
  <c r="CL10" i="1"/>
  <c r="DY10" i="1"/>
  <c r="DZ10" i="1" l="1"/>
  <c r="DD14" i="1"/>
  <c r="CV16" i="1"/>
  <c r="CT14" i="1"/>
  <c r="CR14" i="1"/>
  <c r="EA10" i="1" l="1"/>
  <c r="CN5" i="1"/>
  <c r="CO5" i="1" s="1"/>
  <c r="CP5" i="1" s="1"/>
  <c r="CQ5" i="1" s="1"/>
  <c r="CR5" i="1" s="1"/>
  <c r="CS5" i="1" s="1"/>
  <c r="CT5" i="1" s="1"/>
  <c r="CU5" i="1" s="1"/>
  <c r="CV5" i="1" s="1"/>
  <c r="CW5" i="1" s="1"/>
  <c r="CX5" i="1" s="1"/>
  <c r="CY5" i="1" s="1"/>
  <c r="CZ5" i="1" s="1"/>
  <c r="DA5" i="1" s="1"/>
  <c r="DB5" i="1" s="1"/>
  <c r="DC5" i="1" s="1"/>
  <c r="DD5" i="1" s="1"/>
  <c r="DE5" i="1" s="1"/>
  <c r="DF5" i="1" s="1"/>
  <c r="DG5" i="1" s="1"/>
  <c r="DH5" i="1" s="1"/>
  <c r="DI5" i="1" s="1"/>
  <c r="DJ5" i="1" s="1"/>
  <c r="DK5" i="1" s="1"/>
  <c r="DL5" i="1" s="1"/>
  <c r="DM5" i="1" s="1"/>
  <c r="DN5" i="1" s="1"/>
  <c r="DO5" i="1" s="1"/>
  <c r="DP5" i="1" s="1"/>
  <c r="DQ5" i="1" s="1"/>
  <c r="DR5" i="1" s="1"/>
  <c r="DS5" i="1" s="1"/>
  <c r="DT5" i="1" s="1"/>
  <c r="DU5" i="1" s="1"/>
  <c r="DV5" i="1" s="1"/>
  <c r="DW5" i="1" s="1"/>
  <c r="DX5" i="1" s="1"/>
  <c r="DY5" i="1" s="1"/>
  <c r="DZ5" i="1" s="1"/>
  <c r="EA5" i="1" s="1"/>
  <c r="EB5" i="1" s="1"/>
  <c r="EC5" i="1" s="1"/>
  <c r="ED5" i="1" s="1"/>
  <c r="EE5" i="1" s="1"/>
  <c r="EF5" i="1" s="1"/>
  <c r="EG5" i="1" s="1"/>
  <c r="EH5" i="1" s="1"/>
  <c r="EI5" i="1" s="1"/>
  <c r="EJ5" i="1" s="1"/>
  <c r="EK5" i="1" s="1"/>
  <c r="EL5" i="1" s="1"/>
  <c r="EM5" i="1" s="1"/>
  <c r="EN5" i="1" s="1"/>
  <c r="EO5" i="1" s="1"/>
  <c r="EP5" i="1" s="1"/>
  <c r="EB10" i="1" l="1"/>
  <c r="C13" i="1"/>
  <c r="C14" i="1" s="1"/>
  <c r="C15" i="1" s="1"/>
  <c r="C16" i="1" s="1"/>
  <c r="C17" i="1" s="1"/>
  <c r="B13" i="1"/>
  <c r="B14" i="1" s="1"/>
  <c r="B15" i="1" s="1"/>
  <c r="B16" i="1" s="1"/>
  <c r="B17" i="1" s="1"/>
  <c r="EC10" i="1" l="1"/>
  <c r="C7" i="1"/>
  <c r="C8" i="1" s="1"/>
  <c r="B7" i="1"/>
  <c r="B8" i="1" s="1"/>
  <c r="C9" i="1" l="1"/>
  <c r="C11" i="1" s="1"/>
  <c r="C10" i="1"/>
  <c r="B9" i="1"/>
  <c r="B11" i="1" s="1"/>
  <c r="B10" i="1"/>
  <c r="ED10" i="1"/>
  <c r="CO16" i="1"/>
  <c r="CP16" i="1" s="1"/>
  <c r="CQ16" i="1" s="1"/>
  <c r="CR16" i="1" s="1"/>
  <c r="CS16" i="1" s="1"/>
  <c r="CT16" i="1" s="1"/>
  <c r="CW16" i="1" s="1"/>
  <c r="CX16" i="1" s="1"/>
  <c r="CY16" i="1" s="1"/>
  <c r="CZ16" i="1" s="1"/>
  <c r="DA16" i="1" s="1"/>
  <c r="DB16" i="1" s="1"/>
  <c r="DC16" i="1" s="1"/>
  <c r="DD16" i="1" s="1"/>
  <c r="DE17" i="1" s="1"/>
  <c r="DF17" i="1" s="1"/>
  <c r="DG17" i="1" s="1"/>
  <c r="DH17" i="1" s="1"/>
  <c r="DI16" i="1" s="1"/>
  <c r="EE10" i="1" l="1"/>
  <c r="EF10" i="1" l="1"/>
  <c r="EG10" i="1" l="1"/>
  <c r="EH10" i="1" l="1"/>
  <c r="EI10" i="1" l="1"/>
  <c r="EJ10" i="1" l="1"/>
  <c r="EK10" i="1" l="1"/>
  <c r="EL10" i="1" l="1"/>
  <c r="EM10" i="1" l="1"/>
  <c r="EN10" i="1" l="1"/>
  <c r="EO10" i="1" l="1"/>
  <c r="EP1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Calderon Erendy</author>
  </authors>
  <commentList>
    <comment ref="BM9" authorId="0" shapeId="0" xr:uid="{0571589C-B352-46E1-A88F-69748558609B}">
      <text>
        <r>
          <rPr>
            <b/>
            <sz val="9"/>
            <color indexed="81"/>
            <rFont val="Tahoma"/>
            <family val="2"/>
          </rPr>
          <t>Calderon Erendy:</t>
        </r>
        <r>
          <rPr>
            <sz val="9"/>
            <color indexed="81"/>
            <rFont val="Tahoma"/>
            <family val="2"/>
          </rPr>
          <t xml:space="preserve">
Remisiones: 26401, 26390, 26400, 26399, 26398, 26402, 26404, 26411, 26409, 26410, 26412, 26413, 26414, 26415, 26417, 26419, 26436, 26424</t>
        </r>
      </text>
    </comment>
    <comment ref="BN9" authorId="0" shapeId="0" xr:uid="{0D5EAD41-F0C8-4035-8A7E-551C043585E9}">
      <text>
        <r>
          <rPr>
            <b/>
            <sz val="9"/>
            <color indexed="81"/>
            <rFont val="Tahoma"/>
            <family val="2"/>
          </rPr>
          <t>Calderon Erendy:</t>
        </r>
        <r>
          <rPr>
            <sz val="9"/>
            <color indexed="81"/>
            <rFont val="Tahoma"/>
            <family val="2"/>
          </rPr>
          <t xml:space="preserve">
Remisiones: 26454, 26471</t>
        </r>
      </text>
    </comment>
    <comment ref="BO9" authorId="0" shapeId="0" xr:uid="{13163F2D-CEC5-42AC-9D1B-E9DEAF12B7E7}">
      <text>
        <r>
          <rPr>
            <b/>
            <sz val="9"/>
            <color indexed="81"/>
            <rFont val="Tahoma"/>
            <family val="2"/>
          </rPr>
          <t>Calderon Erendy:</t>
        </r>
        <r>
          <rPr>
            <sz val="9"/>
            <color indexed="81"/>
            <rFont val="Tahoma"/>
            <family val="2"/>
          </rPr>
          <t xml:space="preserve">
Remisiones: 26566, 26581</t>
        </r>
      </text>
    </comment>
    <comment ref="BP9" authorId="0" shapeId="0" xr:uid="{930801A1-B906-4165-84CD-8838576C5C87}">
      <text>
        <r>
          <rPr>
            <b/>
            <sz val="9"/>
            <color indexed="81"/>
            <rFont val="Tahoma"/>
            <family val="2"/>
          </rPr>
          <t>Calderon Erendy:</t>
        </r>
        <r>
          <rPr>
            <sz val="9"/>
            <color indexed="81"/>
            <rFont val="Tahoma"/>
            <family val="2"/>
          </rPr>
          <t xml:space="preserve">
Remisiones: 26628</t>
        </r>
      </text>
    </comment>
    <comment ref="BM15" authorId="0" shapeId="0" xr:uid="{F9D87441-257E-43A8-9C59-32E191E78791}">
      <text>
        <r>
          <rPr>
            <b/>
            <sz val="9"/>
            <color indexed="81"/>
            <rFont val="Tahoma"/>
            <family val="2"/>
          </rPr>
          <t>Calderon Erendy:</t>
        </r>
        <r>
          <rPr>
            <sz val="9"/>
            <color indexed="81"/>
            <rFont val="Tahoma"/>
            <family val="2"/>
          </rPr>
          <t xml:space="preserve">
Remisiones: 26389, 26391, 26396, 26397,   25055, 26405, 26416,026418, 26423, 26437</t>
        </r>
      </text>
    </comment>
    <comment ref="BN15" authorId="0" shapeId="0" xr:uid="{918383C2-DA9E-4663-BB0E-9C5A3B099F7C}">
      <text>
        <r>
          <rPr>
            <b/>
            <sz val="9"/>
            <color indexed="81"/>
            <rFont val="Tahoma"/>
            <family val="2"/>
          </rPr>
          <t>Calderon Erendy:</t>
        </r>
        <r>
          <rPr>
            <sz val="9"/>
            <color indexed="81"/>
            <rFont val="Tahoma"/>
            <family val="2"/>
          </rPr>
          <t xml:space="preserve">
Remisiones: 26472, 26483</t>
        </r>
      </text>
    </comment>
    <comment ref="BO15" authorId="0" shapeId="0" xr:uid="{A221578D-3C53-4D27-8CFB-3780BC5A3266}">
      <text>
        <r>
          <rPr>
            <b/>
            <sz val="9"/>
            <color indexed="81"/>
            <rFont val="Tahoma"/>
            <family val="2"/>
          </rPr>
          <t>Calderon Erendy:</t>
        </r>
        <r>
          <rPr>
            <sz val="9"/>
            <color indexed="81"/>
            <rFont val="Tahoma"/>
            <family val="2"/>
          </rPr>
          <t xml:space="preserve">
Remisiones: 26528, 26567, 26580</t>
        </r>
      </text>
    </comment>
    <comment ref="BP15" authorId="0" shapeId="0" xr:uid="{30A16A56-E075-4E2D-BD30-9EAF3086AFCB}">
      <text>
        <r>
          <rPr>
            <b/>
            <sz val="9"/>
            <color indexed="81"/>
            <rFont val="Tahoma"/>
            <family val="2"/>
          </rPr>
          <t>Calderon Erendy:</t>
        </r>
        <r>
          <rPr>
            <sz val="9"/>
            <color indexed="81"/>
            <rFont val="Tahoma"/>
            <family val="2"/>
          </rPr>
          <t xml:space="preserve">
Remisiones: 26606, 26627</t>
        </r>
      </text>
    </comment>
  </commentList>
</comments>
</file>

<file path=xl/sharedStrings.xml><?xml version="1.0" encoding="utf-8"?>
<sst xmlns="http://schemas.openxmlformats.org/spreadsheetml/2006/main" count="530" uniqueCount="269">
  <si>
    <t>P091381158.001</t>
  </si>
  <si>
    <t>Shield Asy FRT End Port</t>
  </si>
  <si>
    <t>CGDD222001213</t>
  </si>
  <si>
    <t>CGDD222002608</t>
  </si>
  <si>
    <t>CGDD222002609</t>
  </si>
  <si>
    <t>CGDD222003280</t>
  </si>
  <si>
    <t>CGDD222003531</t>
  </si>
  <si>
    <t>CGDD222003611</t>
  </si>
  <si>
    <t>P091381104.004</t>
  </si>
  <si>
    <t>Air Baffle</t>
  </si>
  <si>
    <t>NOTES:</t>
  </si>
  <si>
    <t xml:space="preserve">Conciliation </t>
  </si>
  <si>
    <t>Purchase Order</t>
  </si>
  <si>
    <t>Date</t>
  </si>
  <si>
    <t>Supplier Name</t>
  </si>
  <si>
    <t>Material Code</t>
  </si>
  <si>
    <t>Material Name</t>
  </si>
  <si>
    <t>Invoice</t>
  </si>
  <si>
    <t>Delivery Date</t>
  </si>
  <si>
    <t>Purchase Unit</t>
  </si>
  <si>
    <t>Currency</t>
  </si>
  <si>
    <t>Order Qty</t>
  </si>
  <si>
    <t>Tax-inclusive U/P</t>
  </si>
  <si>
    <t>Tax-inclusive Price</t>
  </si>
  <si>
    <t>Receipt Date</t>
  </si>
  <si>
    <t>Material Receipt No.</t>
  </si>
  <si>
    <t xml:space="preserve"> Material Receipt Qty</t>
  </si>
  <si>
    <t>Material Receipt Amount</t>
  </si>
  <si>
    <t>Warehouse Receipt No.</t>
  </si>
  <si>
    <t>Warehouse Receipt Qty</t>
  </si>
  <si>
    <t>Warehouse Receipt Amount</t>
  </si>
  <si>
    <t>Warehouse Receipt Tax-exclusive Amount</t>
  </si>
  <si>
    <t>05/08/2024</t>
  </si>
  <si>
    <t>Blue Quark Group S.A. de C.V.</t>
  </si>
  <si>
    <t>19920</t>
  </si>
  <si>
    <t>07/15/2024</t>
  </si>
  <si>
    <t>Pcs</t>
  </si>
  <si>
    <t>USD</t>
  </si>
  <si>
    <t>2024-09-10</t>
  </si>
  <si>
    <t>CGSL222003388</t>
  </si>
  <si>
    <t>CGRK22201886</t>
  </si>
  <si>
    <t>20063</t>
  </si>
  <si>
    <t>2024-09-25</t>
  </si>
  <si>
    <t>CGSL222003563</t>
  </si>
  <si>
    <t>CGRK22201991</t>
  </si>
  <si>
    <t>20063*</t>
  </si>
  <si>
    <t>2024-10-01</t>
  </si>
  <si>
    <t>CGSL222003777</t>
  </si>
  <si>
    <t>CGRK22202000</t>
  </si>
  <si>
    <t>20034</t>
  </si>
  <si>
    <t>2024-09-21</t>
  </si>
  <si>
    <t>CGSL222003503</t>
  </si>
  <si>
    <t>CGRK22201924</t>
  </si>
  <si>
    <t>20035</t>
  </si>
  <si>
    <t>CGSL222003504</t>
  </si>
  <si>
    <t>CGRK22201925</t>
  </si>
  <si>
    <t>09/24/2024</t>
  </si>
  <si>
    <t>20199</t>
  </si>
  <si>
    <t>09/25/2024</t>
  </si>
  <si>
    <t>2024-09-27</t>
  </si>
  <si>
    <t>CGSL222003570</t>
  </si>
  <si>
    <t>CGRK22201956</t>
  </si>
  <si>
    <t>20304</t>
  </si>
  <si>
    <t>CGSL222003571</t>
  </si>
  <si>
    <t>CGRK22201957</t>
  </si>
  <si>
    <t>20036</t>
  </si>
  <si>
    <t>CGSL222003521</t>
  </si>
  <si>
    <t>CGRK22201948</t>
  </si>
  <si>
    <t>20681*</t>
  </si>
  <si>
    <t>2024-10-17</t>
  </si>
  <si>
    <t>CGSL222003848</t>
  </si>
  <si>
    <t>CGRK22202045</t>
  </si>
  <si>
    <t>20473</t>
  </si>
  <si>
    <t>2024-10-04</t>
  </si>
  <si>
    <t>CGSL222003693</t>
  </si>
  <si>
    <t>CGRK22201989</t>
  </si>
  <si>
    <t>20383</t>
  </si>
  <si>
    <t>CGSL222003692</t>
  </si>
  <si>
    <t>CGRK22201990</t>
  </si>
  <si>
    <t>CGDD222002764</t>
  </si>
  <si>
    <t>10/11/2024</t>
  </si>
  <si>
    <t>20548</t>
  </si>
  <si>
    <t>10/12/2024</t>
  </si>
  <si>
    <t>2024-10-14</t>
  </si>
  <si>
    <t>CGSL222003803</t>
  </si>
  <si>
    <t>CGRK22202016</t>
  </si>
  <si>
    <t>20600</t>
  </si>
  <si>
    <t>2024-10-15</t>
  </si>
  <si>
    <t>CGSL222003817</t>
  </si>
  <si>
    <t>CGRK22202024</t>
  </si>
  <si>
    <t>20657</t>
  </si>
  <si>
    <t>CGSL222003818</t>
  </si>
  <si>
    <t>CGRK22202025</t>
  </si>
  <si>
    <t>20631</t>
  </si>
  <si>
    <t>CGSL222003838</t>
  </si>
  <si>
    <t>CGRK22202043</t>
  </si>
  <si>
    <t>CGDD222002809</t>
  </si>
  <si>
    <t>10/18/2024</t>
  </si>
  <si>
    <t>20669</t>
  </si>
  <si>
    <t>10/19/2024</t>
  </si>
  <si>
    <t>CGSL222003870</t>
  </si>
  <si>
    <t>CGRK22202048</t>
  </si>
  <si>
    <t>20702</t>
  </si>
  <si>
    <t>CGSL222003871</t>
  </si>
  <si>
    <t>CGRK22202049</t>
  </si>
  <si>
    <t>20692</t>
  </si>
  <si>
    <t>2024-10-18</t>
  </si>
  <si>
    <t>CGSL222003872</t>
  </si>
  <si>
    <t>CGRK22202050</t>
  </si>
  <si>
    <t>20703</t>
  </si>
  <si>
    <t>CGSL222003873</t>
  </si>
  <si>
    <t>CGRK22202051</t>
  </si>
  <si>
    <t>20693</t>
  </si>
  <si>
    <t>CGSL222003875</t>
  </si>
  <si>
    <t>CGRK22202054</t>
  </si>
  <si>
    <t>20937</t>
  </si>
  <si>
    <t>CGSL222003876</t>
  </si>
  <si>
    <t>CGRK22202055</t>
  </si>
  <si>
    <t>CGDD222002840</t>
  </si>
  <si>
    <t>10/23/2024</t>
  </si>
  <si>
    <t>20972</t>
  </si>
  <si>
    <t>10/24/2024</t>
  </si>
  <si>
    <t>2024-10-29</t>
  </si>
  <si>
    <t>CGSL222004020</t>
  </si>
  <si>
    <t>CGRK22202102</t>
  </si>
  <si>
    <t>20938</t>
  </si>
  <si>
    <t>2024-10-23</t>
  </si>
  <si>
    <t>CGSL222003949</t>
  </si>
  <si>
    <t>CGRK22202075</t>
  </si>
  <si>
    <t>20969</t>
  </si>
  <si>
    <t>2024-10-28</t>
  </si>
  <si>
    <t>CGSL222003991</t>
  </si>
  <si>
    <t>CGRK22202092</t>
  </si>
  <si>
    <t>CGDD222003698</t>
  </si>
  <si>
    <t>CGDD222004579</t>
  </si>
  <si>
    <t>19920, 20034, 20035, 20036, 20063, 20199, 20304</t>
  </si>
  <si>
    <t>20972, 20969, 20938, 10937, 20693, 20703, 20692, 20702, 20669, 20681, 20631, 20657, 20600, 20548, 20063, 20473, 20383</t>
  </si>
  <si>
    <t>21230 21224</t>
  </si>
  <si>
    <t>21636, 21635, 21637, 21638, 21631, 21549, 21536, 21535, 21530</t>
  </si>
  <si>
    <t>21818, 21819, 21780, 21777, 21709, 21689, 21653</t>
  </si>
  <si>
    <t>22521, 22487, 22453, 22019, 22074, 22049, 22048</t>
  </si>
  <si>
    <t>23140,23139, 23052, 22676</t>
  </si>
  <si>
    <t>24162, 23791 23437</t>
  </si>
  <si>
    <t>24861, 24400, 24353</t>
  </si>
  <si>
    <t>22607 22605 22541 22540 22539 22538 22359 22367 22349 22317 22291 22266 22265 22096 22090 22075 22073</t>
  </si>
  <si>
    <t>23317, 23187, 23102, 23059, 23030, 23015 22979 22859 22849, 22796, 22773, 22775, 22774, 22608, 22606</t>
  </si>
  <si>
    <t>24284, 24250, 24249, 21124, 24248, 24123, 24122, 24121, 24120, 24119, 24086, 24084, 24085, 24083, 24070, 24043, 24009, 24042, 24008, 23945, 23803, 23801, 23772, 23771, 23740, 23732, 23721, 23687, 23631, 23592, 23588, 23491, 23521, 23490, 23382, 23384, 23492, 23380, 23383, 23381, 23379, 23378</t>
  </si>
  <si>
    <t>25030, 25016, 24888, 24886, 24860, 24815, 24751, 24718, 24694, 24769, 24678, 24621, 24598, 24500, 24454, 2445, 24437, 24435, 24415, 24402, 24401, 24384, 24376, 24375, 24369, 24354</t>
  </si>
  <si>
    <t>GM 45</t>
  </si>
  <si>
    <t>GM 39</t>
  </si>
  <si>
    <t>GM 40</t>
  </si>
  <si>
    <t>GM 38</t>
  </si>
  <si>
    <t>GM 41</t>
  </si>
  <si>
    <t>GM 43</t>
  </si>
  <si>
    <t>GM 42</t>
  </si>
  <si>
    <t>GM 44</t>
  </si>
  <si>
    <t>CGDD222004903</t>
  </si>
  <si>
    <t>CGDD222004904</t>
  </si>
  <si>
    <t>CGDD222004892</t>
  </si>
  <si>
    <t>CGDD222004894 / CGDD222004904</t>
  </si>
  <si>
    <t>GM 63 / GM 75</t>
  </si>
  <si>
    <t>GM97</t>
  </si>
  <si>
    <t>GM445</t>
  </si>
  <si>
    <t>GM483 / GM509</t>
  </si>
  <si>
    <t>GM484 / GM510/ GM529</t>
  </si>
  <si>
    <t>GM642/ GM643</t>
  </si>
  <si>
    <t>GM641 / GM699</t>
  </si>
  <si>
    <t>CGDD222005149</t>
  </si>
  <si>
    <t>CGDD222005150</t>
  </si>
  <si>
    <t>GM699 / GM725/ GM754/ GM741</t>
  </si>
  <si>
    <t>GM884/ GM900/ GM 913</t>
  </si>
  <si>
    <t>GM728 / GM729/ GM 725/ GM 735/ GM751/ GM756/ GM757</t>
  </si>
  <si>
    <t>GM763/ GM774/ GM797/ GM814/ GM 823/ GM828/ GM845/ GM 877</t>
  </si>
  <si>
    <t>CGDD222005255</t>
  </si>
  <si>
    <t>CGDD222005257</t>
  </si>
  <si>
    <t>GM965/ GM996/ GM992/GM1000/ GM1002/ GM1026/ GM1036/ GM1037</t>
  </si>
  <si>
    <t>GM966/ GM993/ GM1001/ GM1035</t>
  </si>
  <si>
    <t>GM1187</t>
  </si>
  <si>
    <t>GM1114/ GM1145/ GM1125/ GM1186/ GM1202/ GM1206/ GM1235/ GM1249/ GM1275/ GM1276</t>
  </si>
  <si>
    <t>GM1322/ GM1352/ GM1385/ GM1397/ GM1410/GM1433</t>
  </si>
  <si>
    <t xml:space="preserve">GM1488/GM1512/ GM1513/GM1535 </t>
  </si>
  <si>
    <t>GM1529</t>
  </si>
  <si>
    <t xml:space="preserve">GM1548/ GM1574/ GM1589/ GM1591/ GM160/GM1605/  GM1635/ GM1662/GM1685 </t>
  </si>
  <si>
    <t>GM1628/ GM1634/GM1639/ GM1636/ GM1637/ GM1684</t>
  </si>
  <si>
    <t>CGDD222005572</t>
  </si>
  <si>
    <t>CGDD222005573</t>
  </si>
  <si>
    <t>GM1739</t>
  </si>
  <si>
    <t>GM1738/ GM1766/ GM1782/ GM1766/ GM1797/ GM1800/ GM1829/ GM1804</t>
  </si>
  <si>
    <t>Customer:</t>
  </si>
  <si>
    <t>Air Thermal Systems, S. de R.L. de C.V</t>
  </si>
  <si>
    <t>Supplier:</t>
  </si>
  <si>
    <t>Supplier No.:</t>
  </si>
  <si>
    <t>PART NAME</t>
  </si>
  <si>
    <t>Plan PO</t>
  </si>
  <si>
    <t>PO</t>
  </si>
  <si>
    <t>Qty ship</t>
  </si>
  <si>
    <t>Invoice no.</t>
  </si>
  <si>
    <t>Balance</t>
  </si>
  <si>
    <r>
      <t>This release updates our requirements to your company and supersedes the previous one; negative quantities (</t>
    </r>
    <r>
      <rPr>
        <sz val="10"/>
        <color rgb="FFFF0000"/>
        <rFont val="Century Gothic"/>
        <family val="2"/>
      </rPr>
      <t>in red</t>
    </r>
    <r>
      <rPr>
        <sz val="10"/>
        <rFont val="Century Gothic"/>
        <family val="2"/>
      </rPr>
      <t>) indicate a backlog, while positive quantities (</t>
    </r>
    <r>
      <rPr>
        <sz val="10"/>
        <color rgb="FF0070C0"/>
        <rFont val="Century Gothic"/>
        <family val="2"/>
      </rPr>
      <t>in blue</t>
    </r>
    <r>
      <rPr>
        <sz val="10"/>
        <rFont val="Century Gothic"/>
        <family val="2"/>
      </rPr>
      <t>) indicate an overshipment — therefore, you must cover the net requirement.</t>
    </r>
  </si>
  <si>
    <t>Please confirm receipt of this release and inform us if you anticipate any issues fulfilling it on time. If we do not receive a response from you by email within the next 48 hours, we will consider this release accepted, and any extraordinary expenses resulting from delays shall be covered by the supplier.</t>
  </si>
  <si>
    <t>Upon receiving the release and purchase order, please send the packing list at least 15 days in advance to schedule collection with the forwarder, and the invoice within 48 hours after delivery; otherwise, any delay or discrepancy costs, including an additional USD 200 charge, will be the supplier’s responsibility, with all documents to be sent to:</t>
  </si>
  <si>
    <t xml:space="preserve">Material Planner </t>
  </si>
  <si>
    <t>Traffic Specialist &amp; Foreing Trade</t>
  </si>
  <si>
    <t>Grupo Quell GM S.A. de C.V.</t>
  </si>
  <si>
    <t>S25070175</t>
  </si>
  <si>
    <t>GM 1868/ GM 1884/ GM 1909/ GM 1908/ GM 1913/ GM 1943/ GM 1944/  GM 1970/ GM 1958/ GM 1972/ GM 2008/ GM 2012/ GM 2037/ GM 2083/ GM 2103</t>
  </si>
  <si>
    <t>GM 1863/ GM 1885/ GM 1969/ GM 1973/ GM 2013/ GM 2028/ GM 2036</t>
  </si>
  <si>
    <t>GM2192</t>
  </si>
  <si>
    <t>GM 2126/GM 2139/ GM2145/ GM 2179/GM 2190/ GM 2201</t>
  </si>
  <si>
    <t>CGDD222005757</t>
  </si>
  <si>
    <t>CGDD222005758</t>
  </si>
  <si>
    <t>GM 2265/ GM 2292</t>
  </si>
  <si>
    <t>GM 2248/ GM 2266
GM 2267
GM 2277/ GM 2291/ GM 2305</t>
  </si>
  <si>
    <t>GM 2339/ GM 2360/  GM 2391/ GM 2371/ GM 2372/ GM 2407/ GM 2445</t>
  </si>
  <si>
    <t>GM 234/ GM 2392</t>
  </si>
  <si>
    <t>GM2581/GM2582/ GM2583/ GM2584</t>
  </si>
  <si>
    <t>GM 2491/ GM 2520/ GM 2539</t>
  </si>
  <si>
    <t>CGDD222005949</t>
  </si>
  <si>
    <t>CGDD222005950</t>
  </si>
  <si>
    <t>GM2773</t>
  </si>
  <si>
    <t>GM2838</t>
  </si>
  <si>
    <t>GM2817</t>
  </si>
  <si>
    <t>CGDD222006139</t>
  </si>
  <si>
    <t>CGDD222006137</t>
  </si>
  <si>
    <t>GM 3062</t>
  </si>
  <si>
    <t>Delivery date</t>
  </si>
  <si>
    <t>GM 3040 / GM 3073 / GM 3074</t>
  </si>
  <si>
    <t>GM 3128</t>
  </si>
  <si>
    <t>GM3114
GM3125                  GM3134</t>
  </si>
  <si>
    <t>GM 3188
GM 3189              GM 3212</t>
  </si>
  <si>
    <t>GM 3213</t>
  </si>
  <si>
    <t>CGDD222006277</t>
  </si>
  <si>
    <t>CGDD222006278</t>
  </si>
  <si>
    <t>GM 3359, GM 3381, GM 3382, GM 3412, GM 3413</t>
  </si>
  <si>
    <t>GM 3414</t>
  </si>
  <si>
    <t>GM 3462</t>
  </si>
  <si>
    <t>GM 3463, GM 3474, GM 3492, GM 3503</t>
  </si>
  <si>
    <t>GM 3530</t>
  </si>
  <si>
    <t>GM 3548
GM 3569           GM 3585              GM 3602</t>
  </si>
  <si>
    <t>CGDD222006534</t>
  </si>
  <si>
    <t>CGDD222006535</t>
  </si>
  <si>
    <t>GM 3770</t>
  </si>
  <si>
    <t>GM 3771, GM 3784, GM 3785, GM 3782, GM 3800, GM 3818</t>
  </si>
  <si>
    <t>GM 3870</t>
  </si>
  <si>
    <t>GM 3835, GM 3843, GM 3869, GM 3881, GM 3888</t>
  </si>
  <si>
    <t>GM 3968</t>
  </si>
  <si>
    <t>GM 3910, GM 3923 , GM3919, GM 3936, GM 3964, GM 3967</t>
  </si>
  <si>
    <t>GM 4031, GM4 057</t>
  </si>
  <si>
    <t>CGDD222006726</t>
  </si>
  <si>
    <t>CGDD222006727</t>
  </si>
  <si>
    <t>GM 4075</t>
  </si>
  <si>
    <t>GM 4074, GM 4104, GM 4124, GM 4130</t>
  </si>
  <si>
    <t>GM 4184</t>
  </si>
  <si>
    <t>Backlog</t>
  </si>
  <si>
    <t>GM 4145, GM 4163, GM 4193, GM 4213</t>
  </si>
  <si>
    <t>GM 4231, GM 4236, GM 4254, GM 4271, GM 4277</t>
  </si>
  <si>
    <t>GM 4232
GM 4234</t>
  </si>
  <si>
    <t xml:space="preserve">GM 4294,GM 4308,  GM 4323, GM 4335, GM 4347 </t>
  </si>
  <si>
    <t>CGDD222006940</t>
  </si>
  <si>
    <t>GM 4367, GM 4368, GM 4375, GM 4387. GM 4399</t>
  </si>
  <si>
    <t>CGDD222006940 CGDD222006995</t>
  </si>
  <si>
    <t>GM 4429, GM 4430, GM 4438, GM 4439</t>
  </si>
  <si>
    <t>CGDD222007046</t>
  </si>
  <si>
    <t>GM 4498, GM 4511, GM 4526, GM 4542, GM4560</t>
  </si>
  <si>
    <t>GM 4584, GM4585, GM4591,
GM4592</t>
  </si>
  <si>
    <t>CGDD222007151</t>
  </si>
  <si>
    <t>GM 4649</t>
  </si>
  <si>
    <t>CGDD222007276</t>
  </si>
  <si>
    <t xml:space="preserve">GM 4673, GM 4686, GM 4689,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</si>
</sst>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30"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u/>
      <sz val="9"/>
      <color theme="10"/>
      <name val="Calibri"/>
      <family val="2"/>
      <scheme val="minor"/>
    </font>
    <font>
      <sz val="10"/>
      <color theme="1"/>
      <name val="Calibri"/>
      <family val="2"/>
      <scheme val="minor"/>
    </font>
    <font>
      <sz val="11"/>
      <color theme="1"/>
      <name val="Calibri"/>
      <family val="2"/>
      <scheme val="minor"/>
    </font>
    <font>
      <u/>
      <sz val="10"/>
      <color theme="10"/>
      <name val="Arial"/>
      <family val="2"/>
    </font>
    <font>
      <sz val="10"/>
      <color theme="1"/>
      <name val="Arial"/>
      <family val="2"/>
    </font>
    <font>
      <sz val="11"/>
      <name val="Calibri"/>
      <family val="2"/>
      <scheme val="minor"/>
    </font>
    <font>
      <sz val="11"/>
      <color theme="0"/>
      <name val="Calibri"/>
      <family val="2"/>
      <scheme val="minor"/>
    </font>
    <font>
      <sz val="9"/>
      <color indexed="81"/>
      <name val="Tahoma"/>
      <family val="2"/>
    </font>
    <font>
      <b/>
      <sz val="9"/>
      <color indexed="81"/>
      <name val="Tahoma"/>
      <family val="2"/>
    </font>
    <font>
      <b/>
      <sz val="10"/>
      <color theme="1"/>
      <name val="Century Gothic"/>
      <family val="2"/>
    </font>
    <font>
      <b/>
      <sz val="11"/>
      <color rgb="FF000000"/>
      <name val="DengXian"/>
      <charset val="134"/>
    </font>
    <font>
      <sz val="10"/>
      <color theme="1"/>
      <name val="DengXian"/>
      <charset val="134"/>
    </font>
    <font>
      <b/>
      <sz val="10"/>
      <color theme="0"/>
      <name val="Century Gothic"/>
      <family val="2"/>
    </font>
    <font>
      <b/>
      <sz val="10"/>
      <color theme="0"/>
      <name val="DengXian"/>
      <charset val="134"/>
    </font>
    <font>
      <b/>
      <sz val="10"/>
      <name val="Century Gothic"/>
      <family val="2"/>
    </font>
    <font>
      <sz val="10"/>
      <name val="Century Gothic"/>
      <family val="2"/>
    </font>
    <font>
      <sz val="10"/>
      <color theme="0"/>
      <name val="DengXian"/>
      <charset val="134"/>
    </font>
    <font>
      <sz val="10"/>
      <color theme="1"/>
      <name val="Century Gothic"/>
      <family val="2"/>
    </font>
    <font>
      <sz val="10"/>
      <color rgb="FFFF0000"/>
      <name val="Century Gothic"/>
      <family val="2"/>
    </font>
    <font>
      <sz val="10"/>
      <color rgb="FF0070C0"/>
      <name val="Century Gothic"/>
      <family val="2"/>
    </font>
    <font>
      <b/>
      <sz val="10"/>
      <color rgb="FFFF0000"/>
      <name val="Century Gothic"/>
      <family val="2"/>
    </font>
    <font>
      <sz val="10"/>
      <color theme="0"/>
      <name val="Century Gothic"/>
      <family val="2"/>
    </font>
    <font>
      <u/>
      <sz val="11"/>
      <color theme="1"/>
      <name val="Calibri"/>
      <family val="2"/>
      <scheme val="minor"/>
    </font>
    <font>
      <u/>
      <sz val="10"/>
      <name val="Century Gothic"/>
      <family val="2"/>
    </font>
    <font>
      <b/>
      <sz val="10"/>
      <color theme="4" tint="-0.249977111117893"/>
      <name val="Century Gothic"/>
      <family val="2"/>
    </font>
    <font>
      <sz val="8"/>
      <name val="Century Gothic"/>
      <family val="2"/>
    </font>
  </fonts>
  <fills count="11">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0070C0"/>
        <bgColor indexed="64"/>
      </patternFill>
    </fill>
    <fill>
      <patternFill patternType="solid">
        <fgColor theme="9" tint="-0.249977111117893"/>
        <bgColor rgb="FF000000"/>
      </patternFill>
    </fill>
    <fill>
      <patternFill patternType="solid">
        <fgColor rgb="FF00B0F0"/>
        <bgColor indexed="64"/>
      </patternFill>
    </fill>
    <fill>
      <patternFill patternType="solid">
        <fgColor rgb="FF0070C0"/>
        <bgColor rgb="FF000000"/>
      </patternFill>
    </fill>
    <fill>
      <patternFill patternType="solid">
        <fgColor rgb="FFCCECFF"/>
        <bgColor indexed="64"/>
      </patternFill>
    </fill>
    <fill>
      <patternFill patternType="solid">
        <fgColor rgb="FFFFFF00"/>
        <bgColor rgb="FF000000"/>
      </patternFill>
    </fill>
    <fill>
      <patternFill patternType="solid">
        <fgColor theme="4" tint="-0.249977111117893"/>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s>
  <cellStyleXfs count="14">
    <xf numFmtId="0" fontId="0" fillId="0" borderId="0"/>
    <xf numFmtId="0" fontId="2" fillId="0" borderId="0" applyNumberFormat="0" applyFill="0" applyBorder="0" applyAlignment="0" applyProtection="0"/>
    <xf numFmtId="0" fontId="3" fillId="0" borderId="0"/>
    <xf numFmtId="0" fontId="7" fillId="0" borderId="0" applyNumberFormat="0" applyFill="0" applyBorder="0" applyAlignment="0" applyProtection="0"/>
    <xf numFmtId="0" fontId="8" fillId="0" borderId="0"/>
    <xf numFmtId="0" fontId="3" fillId="0" borderId="0"/>
    <xf numFmtId="0" fontId="6" fillId="0" borderId="0"/>
    <xf numFmtId="0" fontId="3" fillId="2" borderId="0"/>
    <xf numFmtId="0" fontId="3" fillId="0" borderId="0"/>
    <xf numFmtId="0" fontId="6" fillId="0" borderId="0"/>
    <xf numFmtId="0" fontId="6" fillId="0" borderId="0"/>
    <xf numFmtId="0" fontId="3" fillId="0" borderId="0"/>
    <xf numFmtId="0" fontId="3" fillId="0" borderId="0"/>
    <xf numFmtId="43" fontId="6" fillId="0" borderId="0" applyFont="0" applyFill="0" applyBorder="0" applyAlignment="0" applyProtection="0"/>
  </cellStyleXfs>
  <cellXfs count="44">
    <xf numFmtId="0" fontId="0" fillId="0" borderId="0" xfId="0"/>
    <xf numFmtId="0" fontId="4" fillId="0" borderId="0" xfId="1" applyFont="1"/>
    <xf numFmtId="0" fontId="1" fillId="0" borderId="0" xfId="0" applyFont="1"/>
    <xf numFmtId="0" fontId="5" fillId="0" borderId="0" xfId="0" applyFont="1"/>
    <xf numFmtId="0" fontId="9" fillId="0" borderId="0" xfId="0" applyFont="1"/>
    <xf numFmtId="0" fontId="10" fillId="4" borderId="0" xfId="0" applyFont="1" applyFill="1"/>
    <xf numFmtId="3" fontId="0" fillId="0" borderId="0" xfId="0" applyNumberFormat="1"/>
    <xf numFmtId="4" fontId="0" fillId="0" borderId="0" xfId="0" applyNumberFormat="1"/>
    <xf numFmtId="164" fontId="0" fillId="0" borderId="0" xfId="0" applyNumberFormat="1"/>
    <xf numFmtId="0" fontId="0" fillId="0" borderId="0" xfId="0" applyAlignment="1">
      <alignment vertical="top"/>
    </xf>
    <xf numFmtId="0" fontId="13" fillId="0" borderId="0" xfId="0" applyFont="1" applyAlignment="1">
      <alignment horizontal="right"/>
    </xf>
    <xf numFmtId="0" fontId="14" fillId="0" borderId="0" xfId="0" applyFont="1" applyAlignment="1">
      <alignment horizontal="left" vertical="center"/>
    </xf>
    <xf numFmtId="0" fontId="15" fillId="0" borderId="0" xfId="0" applyFont="1"/>
    <xf numFmtId="0" fontId="16" fillId="6" borderId="0" xfId="0" applyFont="1" applyFill="1" applyAlignment="1">
      <alignment horizontal="center"/>
    </xf>
    <xf numFmtId="0" fontId="17" fillId="7" borderId="0" xfId="0" applyFont="1" applyFill="1"/>
    <xf numFmtId="0" fontId="18" fillId="8" borderId="2" xfId="0" applyFont="1" applyFill="1" applyBorder="1" applyAlignment="1">
      <alignment horizontal="left" vertical="center" wrapText="1"/>
    </xf>
    <xf numFmtId="0" fontId="19" fillId="0" borderId="3" xfId="0" applyFont="1" applyBorder="1" applyAlignment="1">
      <alignment horizontal="left" vertical="center" wrapText="1"/>
    </xf>
    <xf numFmtId="14" fontId="20" fillId="7" borderId="1" xfId="0" applyNumberFormat="1" applyFont="1" applyFill="1" applyBorder="1" applyAlignment="1">
      <alignment horizontal="left"/>
    </xf>
    <xf numFmtId="0" fontId="21" fillId="0" borderId="0" xfId="0" applyFont="1"/>
    <xf numFmtId="0" fontId="18" fillId="3" borderId="0" xfId="0" applyFont="1" applyFill="1" applyAlignment="1">
      <alignment horizontal="left" vertical="top" wrapText="1"/>
    </xf>
    <xf numFmtId="0" fontId="18" fillId="9" borderId="0" xfId="0" applyFont="1" applyFill="1"/>
    <xf numFmtId="0" fontId="19" fillId="0" borderId="0" xfId="0" applyFont="1" applyAlignment="1">
      <alignment vertical="top" wrapText="1"/>
    </xf>
    <xf numFmtId="0" fontId="19" fillId="0" borderId="0" xfId="0" applyFont="1" applyAlignment="1">
      <alignment vertical="top"/>
    </xf>
    <xf numFmtId="0" fontId="24" fillId="0" borderId="3" xfId="0" applyFont="1" applyBorder="1" applyAlignment="1">
      <alignment horizontal="left" vertical="center" wrapText="1"/>
    </xf>
    <xf numFmtId="14" fontId="25" fillId="10" borderId="1" xfId="0" applyNumberFormat="1" applyFont="1" applyFill="1" applyBorder="1" applyAlignment="1">
      <alignment horizontal="left"/>
    </xf>
    <xf numFmtId="14" fontId="25" fillId="5" borderId="1" xfId="0" applyNumberFormat="1" applyFont="1" applyFill="1" applyBorder="1" applyAlignment="1">
      <alignment horizontal="left"/>
    </xf>
    <xf numFmtId="14" fontId="25" fillId="7" borderId="1" xfId="0" applyNumberFormat="1" applyFont="1" applyFill="1" applyBorder="1" applyAlignment="1">
      <alignment horizontal="left"/>
    </xf>
    <xf numFmtId="14" fontId="25" fillId="5" borderId="4" xfId="0" applyNumberFormat="1" applyFont="1" applyFill="1" applyBorder="1" applyAlignment="1">
      <alignment horizontal="left"/>
    </xf>
    <xf numFmtId="14" fontId="25" fillId="7" borderId="0" xfId="0" applyNumberFormat="1" applyFont="1" applyFill="1" applyAlignment="1">
      <alignment horizontal="center"/>
    </xf>
    <xf numFmtId="0" fontId="26" fillId="0" borderId="0" xfId="0" applyFont="1"/>
    <xf numFmtId="0" fontId="22" fillId="0" borderId="3" xfId="0" applyFont="1" applyBorder="1" applyAlignment="1">
      <alignment horizontal="left" vertical="center" wrapText="1"/>
    </xf>
    <xf numFmtId="0" fontId="27" fillId="0" borderId="0" xfId="0" applyFont="1" applyAlignment="1">
      <alignment vertical="top"/>
    </xf>
    <xf numFmtId="0" fontId="28" fillId="0" borderId="3" xfId="0" applyFont="1" applyBorder="1" applyAlignment="1">
      <alignment horizontal="left" vertical="center" wrapText="1"/>
    </xf>
    <xf numFmtId="165" fontId="19" fillId="0" borderId="3" xfId="13" applyNumberFormat="1" applyFont="1" applyBorder="1" applyAlignment="1">
      <alignment horizontal="left" vertical="center" wrapText="1"/>
    </xf>
    <xf numFmtId="0" fontId="21" fillId="0" borderId="3" xfId="0" applyFont="1" applyBorder="1" applyAlignment="1">
      <alignment horizontal="left" vertical="center" wrapText="1"/>
    </xf>
    <xf numFmtId="0" fontId="29" fillId="0" borderId="3" xfId="0" applyFont="1" applyBorder="1" applyAlignment="1">
      <alignment horizontal="left" vertical="center" wrapText="1"/>
    </xf>
    <xf numFmtId="0" fontId="19" fillId="0" borderId="0" xfId="0" applyFont="1" applyAlignment="1">
      <alignment horizontal="left" vertical="top" wrapText="1"/>
    </xf>
    <xf numFmtId="3" fontId="18" fillId="8" borderId="2" xfId="0" applyNumberFormat="1" applyFont="1" applyFill="1" applyBorder="1" applyAlignment="1">
      <alignment horizontal="left" vertical="center" wrapText="1"/>
    </xf>
    <xf numFmtId="0" fontId="27" fillId="0" borderId="0" xfId="0" applyFont="1" applyAlignment="1">
      <alignment vertical="top" wrapText="1"/>
    </xf>
    <xf numFmtId="0" fontId="19" fillId="0" borderId="0" xfId="0" applyFont="1" applyAlignment="1">
      <alignment horizontal="left" vertical="top" wrapText="1"/>
    </xf>
    <xf numFmtId="0" fontId="19" fillId="3" borderId="0" xfId="0" applyFont="1" applyFill="1" applyAlignment="1">
      <alignment horizontal="left" vertical="center" wrapText="1"/>
    </xf>
    <xf numFmtId="0" fontId="19" fillId="0" borderId="0" xfId="0" applyFont="1" applyAlignment="1">
      <alignment horizontal="left" vertical="center" wrapText="1"/>
    </xf>
    <xf numFmtId="0" fontId="27" fillId="0" borderId="0" xfId="0" applyFont="1" applyAlignment="1">
      <alignment horizontal="left" vertical="top" wrapText="1"/>
    </xf>
    <xf numFmtId="0" fontId="0" fillId="0" borderId="0" xfId="0" applyFont="1"/>
  </cellXfs>
  <cellStyles count="14">
    <cellStyle name="Hipervínculo" xfId="1" builtinId="8"/>
    <cellStyle name="Hyperlink 2" xfId="3" xr:uid="{68E18819-C6C5-4D43-A72E-44C256A36017}"/>
    <cellStyle name="Millares" xfId="13" builtinId="3"/>
    <cellStyle name="Normal" xfId="0" builtinId="0"/>
    <cellStyle name="Normal 11" xfId="4" xr:uid="{3BEA8CCE-6BFD-4FA3-B342-1306F4824E97}"/>
    <cellStyle name="Normal 2" xfId="5" xr:uid="{2C154C3F-6D64-4E45-925C-7AC3A0EFA7BF}"/>
    <cellStyle name="Normal 2 2" xfId="6" xr:uid="{8E5027C9-8F79-400D-A499-79C7852A7EB1}"/>
    <cellStyle name="Normal 2 3" xfId="7" xr:uid="{B76DAA74-27D5-48FC-B4D8-39A13D2E75F8}"/>
    <cellStyle name="Normal 3" xfId="8" xr:uid="{78EFD840-B37A-4542-8E58-E6C171A33D3D}"/>
    <cellStyle name="Normal 3 2" xfId="2" xr:uid="{622704DD-7462-4B5B-963A-685E2A544D96}"/>
    <cellStyle name="Normal 4" xfId="9" xr:uid="{9CA75680-344D-4DBD-866D-C947E609934B}"/>
    <cellStyle name="Normal 4 2" xfId="10" xr:uid="{6D82B5BE-D5DB-49C9-9B81-C4B5150E745D}"/>
    <cellStyle name="Normal 5" xfId="11" xr:uid="{FE344FCB-AF64-47A9-AB26-33BDFF8D90A0}"/>
    <cellStyle name="Normal 6" xfId="12" xr:uid="{090C77C9-C2CA-455E-8A77-5BED292AD72C}"/>
  </cellStyles>
  <dxfs count="8">
    <dxf>
      <font>
        <color rgb="FFFF0000"/>
      </font>
      <fill>
        <patternFill patternType="none">
          <bgColor auto="1"/>
        </patternFill>
      </fill>
    </dxf>
    <dxf>
      <font>
        <color theme="3" tint="0.24994659260841701"/>
      </font>
      <fill>
        <patternFill patternType="none">
          <bgColor auto="1"/>
        </patternFill>
      </fill>
    </dxf>
    <dxf>
      <font>
        <color rgb="FFFF0000"/>
      </font>
      <fill>
        <patternFill patternType="none">
          <bgColor auto="1"/>
        </patternFill>
      </fill>
    </dxf>
    <dxf>
      <font>
        <color theme="3" tint="0.24994659260841701"/>
      </font>
      <fill>
        <patternFill patternType="none">
          <bgColor auto="1"/>
        </patternFill>
      </fill>
    </dxf>
    <dxf>
      <font>
        <color rgb="FFFF0000"/>
      </font>
      <fill>
        <patternFill patternType="none">
          <bgColor auto="1"/>
        </patternFill>
      </fill>
    </dxf>
    <dxf>
      <font>
        <color theme="3" tint="0.24994659260841701"/>
      </font>
      <fill>
        <patternFill patternType="none">
          <bgColor auto="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7D7"/>
      <color rgb="FFFBF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127</xdr:col>
      <xdr:colOff>85669</xdr:colOff>
      <xdr:row>0</xdr:row>
      <xdr:rowOff>0</xdr:rowOff>
    </xdr:from>
    <xdr:to>
      <xdr:col>129</xdr:col>
      <xdr:colOff>218343</xdr:colOff>
      <xdr:row>2</xdr:row>
      <xdr:rowOff>123763</xdr:rowOff>
    </xdr:to>
    <xdr:pic>
      <xdr:nvPicPr>
        <xdr:cNvPr id="4" name="Picture 1">
          <a:extLst>
            <a:ext uri="{FF2B5EF4-FFF2-40B4-BE49-F238E27FC236}">
              <a16:creationId xmlns:a16="http://schemas.microsoft.com/office/drawing/2014/main" id="{D160C66B-D07C-8F65-E329-808462624D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17628" y="0"/>
          <a:ext cx="1610021" cy="496987"/>
        </a:xfrm>
        <a:prstGeom prst="rect">
          <a:avLst/>
        </a:prstGeom>
        <a:noFill/>
        <a:ln>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4944-4715-4B4F-B562-D1ED22B4DFD0}">
  <dimension ref="A1:IZ32"/>
  <sheetViews>
    <sheetView showGridLines="0" tabSelected="1" zoomScale="98" zoomScaleNormal="98" workbookViewId="0">
      <pane xSplit="4" ySplit="5" topLeftCell="DN6" activePane="bottomRight" state="frozen"/>
      <selection pane="topRight" activeCell="G1" sqref="G1"/>
      <selection pane="bottomLeft" activeCell="A15" sqref="A15"/>
      <selection pane="bottomRight" activeCell="DR26" sqref="DR26"/>
    </sheetView>
  </sheetViews>
  <sheetFormatPr baseColWidth="10" defaultColWidth="8.77734375" defaultRowHeight="14.4" outlineLevelRow="1" x14ac:dyDescent="0.3"/>
  <cols>
    <col min="1" max="1" width="1" customWidth="1"/>
    <col min="2" max="2" width="15" bestFit="1" customWidth="1"/>
    <col min="3" max="3" width="21.109375" customWidth="1"/>
    <col min="4" max="4" width="12.21875" bestFit="1" customWidth="1"/>
    <col min="5" max="5" width="10.33203125" hidden="1" customWidth="1"/>
    <col min="6" max="8" width="7.77734375" hidden="1" customWidth="1"/>
    <col min="9" max="9" width="32.44140625" hidden="1" customWidth="1"/>
    <col min="10" max="12" width="6.77734375" hidden="1" customWidth="1"/>
    <col min="13" max="17" width="6.21875" hidden="1" customWidth="1"/>
    <col min="18" max="21" width="7.44140625" hidden="1" customWidth="1"/>
    <col min="22" max="23" width="14.5546875" hidden="1" customWidth="1"/>
    <col min="24" max="24" width="9" hidden="1" customWidth="1"/>
    <col min="25" max="25" width="14.5546875" hidden="1" customWidth="1"/>
    <col min="26" max="26" width="42.21875" hidden="1" customWidth="1"/>
    <col min="27" max="29" width="9.109375" hidden="1" customWidth="1"/>
    <col min="30" max="30" width="102.6640625" hidden="1" customWidth="1"/>
    <col min="31" max="33" width="10.109375" hidden="1" customWidth="1"/>
    <col min="34" max="34" width="11.44140625" hidden="1" customWidth="1"/>
    <col min="35" max="35" width="10.109375" hidden="1" customWidth="1"/>
    <col min="36" max="36" width="14.5546875" hidden="1" customWidth="1"/>
    <col min="37" max="39" width="10.109375" hidden="1" customWidth="1"/>
    <col min="40" max="42" width="14.5546875" hidden="1" customWidth="1"/>
    <col min="43" max="43" width="54.33203125" hidden="1" customWidth="1"/>
    <col min="44" max="44" width="14.5546875" hidden="1" customWidth="1"/>
    <col min="45" max="45" width="10.109375" hidden="1" customWidth="1"/>
    <col min="46" max="46" width="14.5546875" hidden="1" customWidth="1"/>
    <col min="47" max="47" width="42.21875" hidden="1" customWidth="1"/>
    <col min="48" max="51" width="14.5546875" hidden="1" customWidth="1"/>
    <col min="52" max="52" width="42.21875" hidden="1" customWidth="1"/>
    <col min="53" max="53" width="10.109375" hidden="1" customWidth="1"/>
    <col min="54" max="55" width="14.5546875" hidden="1" customWidth="1"/>
    <col min="56" max="56" width="23.5546875" hidden="1" customWidth="1"/>
    <col min="57" max="59" width="10.109375" hidden="1" customWidth="1"/>
    <col min="60" max="60" width="18.77734375" hidden="1" customWidth="1"/>
    <col min="61" max="63" width="10.109375" hidden="1" customWidth="1"/>
    <col min="64" max="64" width="18" hidden="1" customWidth="1"/>
    <col min="65" max="68" width="15.21875" hidden="1" customWidth="1"/>
    <col min="69" max="69" width="31.44140625" hidden="1" customWidth="1"/>
    <col min="70" max="70" width="15.21875" hidden="1" customWidth="1"/>
    <col min="71" max="71" width="10.109375" hidden="1" customWidth="1"/>
    <col min="72" max="73" width="16.21875" hidden="1" customWidth="1"/>
    <col min="74" max="74" width="15.77734375" hidden="1" customWidth="1"/>
    <col min="75" max="76" width="16.21875" hidden="1" customWidth="1"/>
    <col min="77" max="78" width="16.109375" hidden="1" customWidth="1"/>
    <col min="79" max="80" width="16.21875" hidden="1" customWidth="1"/>
    <col min="81" max="81" width="18.5546875" hidden="1" customWidth="1"/>
    <col min="82" max="82" width="16.21875" hidden="1" customWidth="1"/>
    <col min="83" max="83" width="16.109375" hidden="1" customWidth="1"/>
    <col min="84" max="88" width="16.21875" hidden="1" customWidth="1"/>
    <col min="89" max="89" width="16.109375" hidden="1" customWidth="1"/>
    <col min="90" max="91" width="11.109375" hidden="1" customWidth="1"/>
    <col min="92" max="95" width="16.109375" hidden="1" customWidth="1"/>
    <col min="96" max="98" width="16.21875" hidden="1" customWidth="1"/>
    <col min="99" max="99" width="10.77734375" hidden="1" customWidth="1"/>
    <col min="100" max="102" width="16.109375" hidden="1" customWidth="1"/>
    <col min="103" max="104" width="11.109375" hidden="1" customWidth="1"/>
    <col min="105" max="107" width="16.21875" hidden="1" customWidth="1"/>
    <col min="108" max="108" width="16" hidden="1" customWidth="1"/>
    <col min="109" max="111" width="16.21875" hidden="1" customWidth="1"/>
    <col min="112" max="112" width="9.77734375" hidden="1" customWidth="1"/>
    <col min="113" max="115" width="16" hidden="1" customWidth="1"/>
    <col min="116" max="116" width="16.44140625" hidden="1" customWidth="1"/>
    <col min="117" max="117" width="16.6640625" hidden="1" customWidth="1"/>
    <col min="118" max="118" width="17.21875" customWidth="1"/>
    <col min="119" max="121" width="16.21875" bestFit="1" customWidth="1"/>
    <col min="122" max="146" width="10.77734375" bestFit="1" customWidth="1"/>
    <col min="147" max="147" width="9.77734375" bestFit="1" customWidth="1"/>
    <col min="150" max="151" width="9.77734375" bestFit="1" customWidth="1"/>
    <col min="154" max="156" width="9.77734375" bestFit="1" customWidth="1"/>
  </cols>
  <sheetData>
    <row r="1" spans="2:159" x14ac:dyDescent="0.3">
      <c r="B1" s="10" t="s">
        <v>188</v>
      </c>
      <c r="C1" s="11" t="s">
        <v>189</v>
      </c>
      <c r="D1" s="3"/>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DG1" s="29"/>
    </row>
    <row r="2" spans="2:159" x14ac:dyDescent="0.3">
      <c r="B2" s="10" t="s">
        <v>190</v>
      </c>
      <c r="C2" s="12" t="s">
        <v>203</v>
      </c>
      <c r="D2" s="1"/>
      <c r="F2" s="1"/>
      <c r="G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DA2" s="29"/>
      <c r="DD2" s="29"/>
      <c r="DF2" s="29"/>
      <c r="DK2" s="29"/>
      <c r="DL2" s="29"/>
      <c r="DM2" s="29"/>
      <c r="DO2" s="29"/>
      <c r="DQ2" s="29"/>
    </row>
    <row r="3" spans="2:159" x14ac:dyDescent="0.3">
      <c r="B3" s="10" t="s">
        <v>191</v>
      </c>
      <c r="C3" s="12" t="s">
        <v>204</v>
      </c>
      <c r="D3" s="1"/>
      <c r="DG3" s="29"/>
      <c r="DK3" s="29"/>
    </row>
    <row r="4" spans="2:159" x14ac:dyDescent="0.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row>
    <row r="5" spans="2:159" x14ac:dyDescent="0.3">
      <c r="B5" s="14" t="s">
        <v>192</v>
      </c>
      <c r="C5" s="14" t="s">
        <v>192</v>
      </c>
      <c r="D5" s="14" t="s">
        <v>225</v>
      </c>
      <c r="E5" s="17">
        <v>45832</v>
      </c>
      <c r="F5" s="17">
        <v>45833</v>
      </c>
      <c r="G5" s="17">
        <v>45834</v>
      </c>
      <c r="H5" s="17">
        <v>45835</v>
      </c>
      <c r="I5" s="17">
        <v>45836</v>
      </c>
      <c r="J5" s="17">
        <v>45837</v>
      </c>
      <c r="K5" s="17">
        <v>45838</v>
      </c>
      <c r="L5" s="17">
        <v>45839</v>
      </c>
      <c r="M5" s="17">
        <v>45840</v>
      </c>
      <c r="N5" s="17">
        <v>45841</v>
      </c>
      <c r="O5" s="17">
        <v>45842</v>
      </c>
      <c r="P5" s="17">
        <v>45843</v>
      </c>
      <c r="Q5" s="17">
        <v>45844</v>
      </c>
      <c r="R5" s="17">
        <v>45845</v>
      </c>
      <c r="S5" s="17">
        <v>45846</v>
      </c>
      <c r="T5" s="17">
        <v>45847</v>
      </c>
      <c r="U5" s="17">
        <v>45848</v>
      </c>
      <c r="V5" s="17">
        <v>45849</v>
      </c>
      <c r="W5" s="17">
        <v>45850</v>
      </c>
      <c r="X5" s="17">
        <v>45851</v>
      </c>
      <c r="Y5" s="17">
        <v>45852</v>
      </c>
      <c r="Z5" s="17">
        <v>45853</v>
      </c>
      <c r="AA5" s="17">
        <v>45854</v>
      </c>
      <c r="AB5" s="17">
        <v>45855</v>
      </c>
      <c r="AC5" s="17">
        <v>45856</v>
      </c>
      <c r="AD5" s="17">
        <v>45857</v>
      </c>
      <c r="AE5" s="17">
        <v>45858</v>
      </c>
      <c r="AF5" s="17">
        <v>45859</v>
      </c>
      <c r="AG5" s="17">
        <v>45860</v>
      </c>
      <c r="AH5" s="17">
        <v>45861</v>
      </c>
      <c r="AI5" s="17">
        <v>45862</v>
      </c>
      <c r="AJ5" s="17">
        <v>45863</v>
      </c>
      <c r="AK5" s="17">
        <v>45864</v>
      </c>
      <c r="AL5" s="17">
        <v>45865</v>
      </c>
      <c r="AM5" s="17">
        <v>45866</v>
      </c>
      <c r="AN5" s="17">
        <v>45867</v>
      </c>
      <c r="AO5" s="17">
        <v>45868</v>
      </c>
      <c r="AP5" s="17">
        <v>45869</v>
      </c>
      <c r="AQ5" s="17">
        <v>45870</v>
      </c>
      <c r="AR5" s="17">
        <v>45871</v>
      </c>
      <c r="AS5" s="17">
        <v>45872</v>
      </c>
      <c r="AT5" s="17">
        <v>45873</v>
      </c>
      <c r="AU5" s="17">
        <v>45874</v>
      </c>
      <c r="AV5" s="17">
        <v>45875</v>
      </c>
      <c r="AW5" s="17">
        <v>45876</v>
      </c>
      <c r="AX5" s="17">
        <v>45877</v>
      </c>
      <c r="AY5" s="17">
        <v>45878</v>
      </c>
      <c r="AZ5" s="17">
        <v>45879</v>
      </c>
      <c r="BA5" s="17">
        <v>45880</v>
      </c>
      <c r="BB5" s="17">
        <v>45881</v>
      </c>
      <c r="BC5" s="17">
        <v>45882</v>
      </c>
      <c r="BD5" s="17">
        <v>45883</v>
      </c>
      <c r="BE5" s="17">
        <v>45884</v>
      </c>
      <c r="BF5" s="17">
        <v>45885</v>
      </c>
      <c r="BG5" s="17">
        <v>45886</v>
      </c>
      <c r="BH5" s="17">
        <v>45887</v>
      </c>
      <c r="BI5" s="17">
        <v>45888</v>
      </c>
      <c r="BJ5" s="17">
        <v>45889</v>
      </c>
      <c r="BK5" s="17">
        <v>45890</v>
      </c>
      <c r="BL5" s="17">
        <v>45891</v>
      </c>
      <c r="BM5" s="17">
        <v>45892</v>
      </c>
      <c r="BN5" s="17">
        <v>45893</v>
      </c>
      <c r="BO5" s="17">
        <v>45894</v>
      </c>
      <c r="BP5" s="17">
        <v>45895</v>
      </c>
      <c r="BQ5" s="17">
        <v>45896</v>
      </c>
      <c r="BR5" s="17">
        <v>45897</v>
      </c>
      <c r="BS5" s="17">
        <v>45898</v>
      </c>
      <c r="BT5" s="17">
        <v>45899</v>
      </c>
      <c r="BU5" s="17">
        <v>45900</v>
      </c>
      <c r="BV5" s="24">
        <v>45901</v>
      </c>
      <c r="BW5" s="24">
        <f>BV5+7</f>
        <v>45908</v>
      </c>
      <c r="BX5" s="24">
        <f t="shared" ref="BX5:DF5" si="0">BW5+7</f>
        <v>45915</v>
      </c>
      <c r="BY5" s="24">
        <f t="shared" si="0"/>
        <v>45922</v>
      </c>
      <c r="BZ5" s="24">
        <f t="shared" si="0"/>
        <v>45929</v>
      </c>
      <c r="CA5" s="26">
        <f t="shared" si="0"/>
        <v>45936</v>
      </c>
      <c r="CB5" s="26">
        <f t="shared" si="0"/>
        <v>45943</v>
      </c>
      <c r="CC5" s="26">
        <f t="shared" si="0"/>
        <v>45950</v>
      </c>
      <c r="CD5" s="26">
        <f t="shared" si="0"/>
        <v>45957</v>
      </c>
      <c r="CE5" s="26">
        <f t="shared" si="0"/>
        <v>45964</v>
      </c>
      <c r="CF5" s="26">
        <f t="shared" si="0"/>
        <v>45971</v>
      </c>
      <c r="CG5" s="26">
        <f t="shared" si="0"/>
        <v>45978</v>
      </c>
      <c r="CH5" s="26">
        <f t="shared" si="0"/>
        <v>45985</v>
      </c>
      <c r="CI5" s="26">
        <f t="shared" si="0"/>
        <v>45992</v>
      </c>
      <c r="CJ5" s="26">
        <f t="shared" si="0"/>
        <v>45999</v>
      </c>
      <c r="CK5" s="26">
        <f t="shared" si="0"/>
        <v>46006</v>
      </c>
      <c r="CL5" s="26">
        <f t="shared" si="0"/>
        <v>46013</v>
      </c>
      <c r="CM5" s="26">
        <f t="shared" si="0"/>
        <v>46020</v>
      </c>
      <c r="CN5" s="25">
        <f>CM5+7</f>
        <v>46027</v>
      </c>
      <c r="CO5" s="25">
        <f t="shared" si="0"/>
        <v>46034</v>
      </c>
      <c r="CP5" s="25">
        <f t="shared" si="0"/>
        <v>46041</v>
      </c>
      <c r="CQ5" s="27">
        <f t="shared" si="0"/>
        <v>46048</v>
      </c>
      <c r="CR5" s="28">
        <f t="shared" si="0"/>
        <v>46055</v>
      </c>
      <c r="CS5" s="28">
        <f t="shared" si="0"/>
        <v>46062</v>
      </c>
      <c r="CT5" s="28">
        <f t="shared" si="0"/>
        <v>46069</v>
      </c>
      <c r="CU5" s="28">
        <f t="shared" si="0"/>
        <v>46076</v>
      </c>
      <c r="CV5" s="28">
        <f t="shared" si="0"/>
        <v>46083</v>
      </c>
      <c r="CW5" s="28">
        <f t="shared" si="0"/>
        <v>46090</v>
      </c>
      <c r="CX5" s="28">
        <f t="shared" si="0"/>
        <v>46097</v>
      </c>
      <c r="CY5" s="28">
        <f t="shared" si="0"/>
        <v>46104</v>
      </c>
      <c r="CZ5" s="28">
        <f t="shared" si="0"/>
        <v>46111</v>
      </c>
      <c r="DA5" s="28">
        <f t="shared" si="0"/>
        <v>46118</v>
      </c>
      <c r="DB5" s="28">
        <f t="shared" si="0"/>
        <v>46125</v>
      </c>
      <c r="DC5" s="28">
        <f t="shared" si="0"/>
        <v>46132</v>
      </c>
      <c r="DD5" s="28">
        <f t="shared" si="0"/>
        <v>46139</v>
      </c>
      <c r="DE5" s="28">
        <f t="shared" si="0"/>
        <v>46146</v>
      </c>
      <c r="DF5" s="28">
        <f t="shared" si="0"/>
        <v>46153</v>
      </c>
      <c r="DG5" s="28">
        <f t="shared" ref="DG5" si="1">DF5+7</f>
        <v>46160</v>
      </c>
      <c r="DH5" s="28">
        <f t="shared" ref="DH5" si="2">DG5+7</f>
        <v>46167</v>
      </c>
      <c r="DI5" s="28">
        <f t="shared" ref="DI5" si="3">DH5+7</f>
        <v>46174</v>
      </c>
      <c r="DJ5" s="28">
        <f t="shared" ref="DJ5" si="4">DI5+7</f>
        <v>46181</v>
      </c>
      <c r="DK5" s="28">
        <f t="shared" ref="DK5" si="5">DJ5+7</f>
        <v>46188</v>
      </c>
      <c r="DL5" s="28">
        <f t="shared" ref="DL5" si="6">DK5+7</f>
        <v>46195</v>
      </c>
      <c r="DM5" s="28">
        <f t="shared" ref="DM5" si="7">DL5+7</f>
        <v>46202</v>
      </c>
      <c r="DN5" s="28">
        <f t="shared" ref="DN5" si="8">DM5+7</f>
        <v>46209</v>
      </c>
      <c r="DO5" s="28">
        <f t="shared" ref="DO5" si="9">DN5+7</f>
        <v>46216</v>
      </c>
      <c r="DP5" s="28">
        <f t="shared" ref="DP5" si="10">DO5+7</f>
        <v>46223</v>
      </c>
      <c r="DQ5" s="28">
        <f t="shared" ref="DQ5" si="11">DP5+7</f>
        <v>46230</v>
      </c>
      <c r="DR5" s="28">
        <f t="shared" ref="DR5" si="12">DQ5+7</f>
        <v>46237</v>
      </c>
      <c r="DS5" s="28">
        <f t="shared" ref="DS5" si="13">DR5+7</f>
        <v>46244</v>
      </c>
      <c r="DT5" s="28">
        <f t="shared" ref="DT5" si="14">DS5+7</f>
        <v>46251</v>
      </c>
      <c r="DU5" s="28">
        <f t="shared" ref="DU5" si="15">DT5+7</f>
        <v>46258</v>
      </c>
      <c r="DV5" s="28">
        <f t="shared" ref="DV5" si="16">DU5+7</f>
        <v>46265</v>
      </c>
      <c r="DW5" s="28">
        <f t="shared" ref="DW5" si="17">DV5+7</f>
        <v>46272</v>
      </c>
      <c r="DX5" s="28">
        <f t="shared" ref="DX5" si="18">DW5+7</f>
        <v>46279</v>
      </c>
      <c r="DY5" s="28">
        <f t="shared" ref="DY5" si="19">DX5+7</f>
        <v>46286</v>
      </c>
      <c r="DZ5" s="28">
        <f t="shared" ref="DZ5" si="20">DY5+7</f>
        <v>46293</v>
      </c>
      <c r="EA5" s="28">
        <f t="shared" ref="EA5" si="21">DZ5+7</f>
        <v>46300</v>
      </c>
      <c r="EB5" s="28">
        <f t="shared" ref="EB5" si="22">EA5+7</f>
        <v>46307</v>
      </c>
      <c r="EC5" s="28">
        <f t="shared" ref="EC5" si="23">EB5+7</f>
        <v>46314</v>
      </c>
      <c r="ED5" s="28">
        <f t="shared" ref="ED5" si="24">EC5+7</f>
        <v>46321</v>
      </c>
      <c r="EE5" s="28">
        <f t="shared" ref="EE5" si="25">ED5+7</f>
        <v>46328</v>
      </c>
      <c r="EF5" s="28">
        <f t="shared" ref="EF5" si="26">EE5+7</f>
        <v>46335</v>
      </c>
      <c r="EG5" s="28">
        <f t="shared" ref="EG5" si="27">EF5+7</f>
        <v>46342</v>
      </c>
      <c r="EH5" s="28">
        <f t="shared" ref="EH5" si="28">EG5+7</f>
        <v>46349</v>
      </c>
      <c r="EI5" s="28">
        <f t="shared" ref="EI5" si="29">EH5+7</f>
        <v>46356</v>
      </c>
      <c r="EJ5" s="28">
        <f t="shared" ref="EJ5" si="30">EI5+7</f>
        <v>46363</v>
      </c>
      <c r="EK5" s="28">
        <f t="shared" ref="EK5" si="31">EJ5+7</f>
        <v>46370</v>
      </c>
      <c r="EL5" s="28">
        <f t="shared" ref="EL5" si="32">EK5+7</f>
        <v>46377</v>
      </c>
      <c r="EM5" s="28">
        <f t="shared" ref="EM5" si="33">EL5+7</f>
        <v>46384</v>
      </c>
      <c r="EN5" s="28">
        <f t="shared" ref="EN5" si="34">EM5+7</f>
        <v>46391</v>
      </c>
      <c r="EO5" s="28">
        <f t="shared" ref="EO5" si="35">EN5+7</f>
        <v>46398</v>
      </c>
      <c r="EP5" s="28">
        <f t="shared" ref="EP5" si="36">EO5+7</f>
        <v>46405</v>
      </c>
      <c r="EQ5" s="28">
        <f t="shared" ref="EQ5" si="37">EP5+7</f>
        <v>46412</v>
      </c>
      <c r="ER5" s="28">
        <f t="shared" ref="ER5" si="38">EQ5+7</f>
        <v>46419</v>
      </c>
      <c r="ES5" s="28">
        <f t="shared" ref="ES5" si="39">ER5+7</f>
        <v>46426</v>
      </c>
      <c r="ET5" s="28">
        <f t="shared" ref="ET5" si="40">ES5+7</f>
        <v>46433</v>
      </c>
      <c r="EU5" s="28">
        <f t="shared" ref="EU5" si="41">ET5+7</f>
        <v>46440</v>
      </c>
      <c r="EV5" s="28">
        <f t="shared" ref="EV5" si="42">EU5+7</f>
        <v>46447</v>
      </c>
      <c r="EW5" s="28">
        <f t="shared" ref="EW5" si="43">EV5+7</f>
        <v>46454</v>
      </c>
      <c r="EX5" s="28">
        <f t="shared" ref="EX5" si="44">EW5+7</f>
        <v>46461</v>
      </c>
      <c r="EY5" s="28">
        <f t="shared" ref="EY5" si="45">EX5+7</f>
        <v>46468</v>
      </c>
      <c r="EZ5" s="28">
        <f t="shared" ref="EZ5" si="46">EY5+7</f>
        <v>46475</v>
      </c>
      <c r="FA5" s="28">
        <f t="shared" ref="FA5" si="47">EZ5+7</f>
        <v>46482</v>
      </c>
    </row>
    <row r="6" spans="2:159" ht="15" customHeight="1" x14ac:dyDescent="0.3">
      <c r="B6" s="15" t="s">
        <v>0</v>
      </c>
      <c r="C6" s="15" t="s">
        <v>1</v>
      </c>
      <c r="D6" s="15" t="s">
        <v>193</v>
      </c>
      <c r="E6" s="15">
        <v>0</v>
      </c>
      <c r="F6" s="15">
        <v>0</v>
      </c>
      <c r="G6" s="15">
        <v>0</v>
      </c>
      <c r="H6" s="15">
        <v>0</v>
      </c>
      <c r="I6" s="15">
        <v>0</v>
      </c>
      <c r="J6" s="15">
        <v>0</v>
      </c>
      <c r="K6" s="15">
        <v>0</v>
      </c>
      <c r="L6" s="15">
        <v>0</v>
      </c>
      <c r="M6" s="15">
        <v>0</v>
      </c>
      <c r="N6" s="15">
        <v>0</v>
      </c>
      <c r="O6" s="15">
        <v>0</v>
      </c>
      <c r="P6" s="15">
        <v>0</v>
      </c>
      <c r="Q6" s="15"/>
      <c r="R6" s="15"/>
      <c r="S6" s="15"/>
      <c r="T6" s="15"/>
      <c r="U6" s="15"/>
      <c r="V6" s="15">
        <v>1500</v>
      </c>
      <c r="W6" s="15">
        <v>1032</v>
      </c>
      <c r="X6" s="15">
        <v>1032</v>
      </c>
      <c r="Y6" s="15">
        <v>1032</v>
      </c>
      <c r="Z6" s="15">
        <v>1032</v>
      </c>
      <c r="AA6" s="15">
        <v>1548</v>
      </c>
      <c r="AB6" s="15">
        <v>1032</v>
      </c>
      <c r="AC6" s="15"/>
      <c r="AD6" s="15">
        <v>1032</v>
      </c>
      <c r="AE6" s="15"/>
      <c r="AF6" s="15"/>
      <c r="AG6" s="15"/>
      <c r="AH6" s="15">
        <v>1032</v>
      </c>
      <c r="AI6" s="15"/>
      <c r="AJ6" s="15">
        <v>1548</v>
      </c>
      <c r="AK6" s="15"/>
      <c r="AL6" s="15"/>
      <c r="AM6" s="15"/>
      <c r="AN6" s="15">
        <v>1548</v>
      </c>
      <c r="AO6" s="15">
        <v>2580</v>
      </c>
      <c r="AP6" s="15">
        <v>1548</v>
      </c>
      <c r="AQ6" s="15">
        <v>1032</v>
      </c>
      <c r="AR6" s="15">
        <v>1548</v>
      </c>
      <c r="AS6" s="15">
        <v>1548</v>
      </c>
      <c r="AT6" s="15">
        <v>1548</v>
      </c>
      <c r="AU6" s="15">
        <v>1548</v>
      </c>
      <c r="AV6" s="15">
        <v>1548</v>
      </c>
      <c r="AW6" s="15">
        <v>2064</v>
      </c>
      <c r="AX6" s="15">
        <v>2064</v>
      </c>
      <c r="AY6" s="15">
        <v>2064</v>
      </c>
      <c r="AZ6" s="15">
        <v>1548</v>
      </c>
      <c r="BA6" s="15">
        <v>1548</v>
      </c>
      <c r="BB6" s="15">
        <v>1548</v>
      </c>
      <c r="BC6" s="15">
        <v>1548</v>
      </c>
      <c r="BD6" s="15">
        <v>1032</v>
      </c>
      <c r="BE6" s="15">
        <v>1548</v>
      </c>
      <c r="BF6" s="15">
        <v>1548</v>
      </c>
      <c r="BG6" s="15"/>
      <c r="BH6" s="15">
        <v>1032</v>
      </c>
      <c r="BI6" s="15">
        <v>1548</v>
      </c>
      <c r="BJ6" s="15">
        <v>1032</v>
      </c>
      <c r="BK6" s="15">
        <v>1032</v>
      </c>
      <c r="BL6" s="15">
        <v>1032</v>
      </c>
      <c r="BM6" s="15">
        <v>1548</v>
      </c>
      <c r="BN6" s="15">
        <v>1548</v>
      </c>
      <c r="BO6" s="15">
        <v>1548</v>
      </c>
      <c r="BP6" s="15"/>
      <c r="BQ6" s="15">
        <v>1032</v>
      </c>
      <c r="BR6" s="15">
        <v>1032</v>
      </c>
      <c r="BS6" s="15"/>
      <c r="BT6" s="15">
        <v>1032</v>
      </c>
      <c r="BU6" s="15">
        <v>1032</v>
      </c>
      <c r="BV6" s="15">
        <v>1032</v>
      </c>
      <c r="BW6" s="15"/>
      <c r="BX6" s="15">
        <v>1032</v>
      </c>
      <c r="BY6" s="15">
        <v>1032</v>
      </c>
      <c r="BZ6" s="15">
        <v>2064</v>
      </c>
      <c r="CA6" s="15">
        <v>1032</v>
      </c>
      <c r="CB6" s="15">
        <v>1548</v>
      </c>
      <c r="CC6" s="15">
        <v>1548</v>
      </c>
      <c r="CD6" s="15">
        <v>1548</v>
      </c>
      <c r="CE6" s="15"/>
      <c r="CF6" s="15">
        <v>1548</v>
      </c>
      <c r="CG6" s="15">
        <v>1548</v>
      </c>
      <c r="CH6" s="15">
        <v>1032</v>
      </c>
      <c r="CI6" s="15">
        <v>1032</v>
      </c>
      <c r="CJ6" s="15">
        <v>1032</v>
      </c>
      <c r="CK6" s="15"/>
      <c r="CL6" s="15"/>
      <c r="CM6" s="15"/>
      <c r="CN6" s="15">
        <v>1560</v>
      </c>
      <c r="CO6" s="15">
        <v>1092</v>
      </c>
      <c r="CP6" s="15"/>
      <c r="CQ6" s="15"/>
      <c r="CR6" s="15">
        <v>1560</v>
      </c>
      <c r="CS6" s="15">
        <v>1092</v>
      </c>
      <c r="CT6" s="15">
        <v>312</v>
      </c>
      <c r="CU6" s="15"/>
      <c r="CV6" s="15">
        <v>624</v>
      </c>
      <c r="CW6" s="15">
        <v>624</v>
      </c>
      <c r="CX6" s="15">
        <v>1092</v>
      </c>
      <c r="CY6" s="15"/>
      <c r="CZ6" s="15"/>
      <c r="DA6" s="15">
        <v>780</v>
      </c>
      <c r="DB6" s="15">
        <v>780</v>
      </c>
      <c r="DC6" s="15">
        <v>624</v>
      </c>
      <c r="DD6" s="15"/>
      <c r="DE6" s="15">
        <v>1092</v>
      </c>
      <c r="DF6" s="15">
        <v>936</v>
      </c>
      <c r="DG6" s="15">
        <v>1092</v>
      </c>
      <c r="DH6" s="15"/>
      <c r="DI6" s="15"/>
      <c r="DJ6" s="15"/>
      <c r="DK6" s="15"/>
      <c r="DL6" s="15"/>
      <c r="DM6" s="15"/>
      <c r="DN6" s="15"/>
      <c r="DO6" s="15"/>
      <c r="DP6" s="15">
        <v>936</v>
      </c>
      <c r="DQ6" s="37">
        <v>2340</v>
      </c>
      <c r="DR6" s="37">
        <v>1248</v>
      </c>
      <c r="DS6" s="37">
        <v>1092</v>
      </c>
      <c r="DT6" s="15">
        <v>780</v>
      </c>
      <c r="DU6" s="15"/>
      <c r="DV6" s="37">
        <v>780</v>
      </c>
      <c r="DW6" s="37">
        <v>780</v>
      </c>
      <c r="DX6" s="37">
        <v>1092</v>
      </c>
      <c r="DY6" s="15">
        <v>780</v>
      </c>
      <c r="DZ6" s="15"/>
      <c r="EA6" s="37">
        <v>1092</v>
      </c>
      <c r="EB6" s="15">
        <v>156</v>
      </c>
      <c r="EC6" s="37">
        <v>1092</v>
      </c>
      <c r="ED6" s="15">
        <v>468</v>
      </c>
      <c r="EE6" s="37">
        <v>1092</v>
      </c>
      <c r="EF6" s="15">
        <v>312</v>
      </c>
      <c r="EG6" s="15">
        <v>624</v>
      </c>
      <c r="EH6" s="15"/>
      <c r="EI6" s="15"/>
      <c r="EJ6" s="37">
        <v>2340</v>
      </c>
      <c r="EK6" s="15">
        <v>780</v>
      </c>
      <c r="EL6" s="15"/>
      <c r="EM6" s="15"/>
      <c r="EN6" s="37">
        <v>1248</v>
      </c>
      <c r="EO6" s="15"/>
      <c r="EP6" s="37">
        <v>1560</v>
      </c>
      <c r="EQ6" s="37"/>
      <c r="ER6" s="15">
        <v>780</v>
      </c>
      <c r="ES6" s="37"/>
      <c r="ET6" s="37">
        <v>1560</v>
      </c>
      <c r="EU6" s="15"/>
      <c r="EV6" s="37"/>
      <c r="EW6" s="37">
        <v>1560</v>
      </c>
      <c r="EX6" s="37">
        <v>1560</v>
      </c>
      <c r="EY6" s="37"/>
      <c r="EZ6" s="37"/>
      <c r="FA6" s="37">
        <v>1560</v>
      </c>
      <c r="FC6" s="6"/>
    </row>
    <row r="7" spans="2:159" ht="18.600000000000001" customHeight="1" x14ac:dyDescent="0.3">
      <c r="B7" s="16" t="str">
        <f>B6</f>
        <v>P091381158.001</v>
      </c>
      <c r="C7" s="16" t="str">
        <f>C6</f>
        <v>Shield Asy FRT End Port</v>
      </c>
      <c r="D7" s="16" t="s">
        <v>194</v>
      </c>
      <c r="E7" s="16"/>
      <c r="F7" s="16"/>
      <c r="G7" s="16"/>
      <c r="H7" s="16"/>
      <c r="I7" s="16"/>
      <c r="J7" s="16"/>
      <c r="K7" s="16"/>
      <c r="L7" s="16"/>
      <c r="M7" s="16"/>
      <c r="N7" s="16"/>
      <c r="O7" s="16"/>
      <c r="P7" s="16"/>
      <c r="Q7" s="16"/>
      <c r="R7" s="16"/>
      <c r="S7" s="16"/>
      <c r="T7" s="16"/>
      <c r="U7" s="16"/>
      <c r="V7" s="16" t="s">
        <v>2</v>
      </c>
      <c r="W7" s="16" t="s">
        <v>3</v>
      </c>
      <c r="X7" s="16"/>
      <c r="Y7" s="16" t="s">
        <v>4</v>
      </c>
      <c r="Z7" s="16"/>
      <c r="AA7" s="16"/>
      <c r="AB7" s="16"/>
      <c r="AC7" s="16"/>
      <c r="AD7" s="16"/>
      <c r="AE7" s="16"/>
      <c r="AF7" s="16"/>
      <c r="AG7" s="16"/>
      <c r="AH7" s="16"/>
      <c r="AI7" s="16"/>
      <c r="AJ7" s="16" t="s">
        <v>2</v>
      </c>
      <c r="AK7" s="16"/>
      <c r="AL7" s="16"/>
      <c r="AM7" s="16"/>
      <c r="AN7" s="16" t="s">
        <v>5</v>
      </c>
      <c r="AO7" s="16" t="s">
        <v>5</v>
      </c>
      <c r="AP7" s="16" t="s">
        <v>5</v>
      </c>
      <c r="AQ7" s="16" t="s">
        <v>5</v>
      </c>
      <c r="AR7" s="16" t="s">
        <v>6</v>
      </c>
      <c r="AS7" s="16"/>
      <c r="AT7" s="16" t="s">
        <v>6</v>
      </c>
      <c r="AU7" s="16" t="s">
        <v>6</v>
      </c>
      <c r="AV7" s="16" t="s">
        <v>7</v>
      </c>
      <c r="AW7" s="16" t="s">
        <v>7</v>
      </c>
      <c r="AX7" s="16" t="s">
        <v>7</v>
      </c>
      <c r="AY7" s="16" t="s">
        <v>7</v>
      </c>
      <c r="AZ7" s="16" t="s">
        <v>7</v>
      </c>
      <c r="BA7" s="16"/>
      <c r="BB7" s="16" t="s">
        <v>7</v>
      </c>
      <c r="BC7" s="16" t="s">
        <v>7</v>
      </c>
      <c r="BD7" s="16"/>
      <c r="BE7" s="16"/>
      <c r="BF7" s="16"/>
      <c r="BG7" s="16"/>
      <c r="BH7" s="16"/>
      <c r="BI7" s="16"/>
      <c r="BJ7" s="16"/>
      <c r="BK7" s="16"/>
      <c r="BL7" s="16"/>
      <c r="BM7" s="16" t="s">
        <v>158</v>
      </c>
      <c r="BN7" s="16" t="s">
        <v>158</v>
      </c>
      <c r="BO7" s="16" t="s">
        <v>158</v>
      </c>
      <c r="BP7" s="16" t="s">
        <v>158</v>
      </c>
      <c r="BQ7" s="16" t="s">
        <v>159</v>
      </c>
      <c r="BR7" s="16" t="s">
        <v>157</v>
      </c>
      <c r="BS7" s="16"/>
      <c r="BT7" s="16" t="s">
        <v>157</v>
      </c>
      <c r="BU7" s="16" t="s">
        <v>157</v>
      </c>
      <c r="BV7" s="16" t="s">
        <v>167</v>
      </c>
      <c r="BW7" s="16"/>
      <c r="BX7" s="16" t="s">
        <v>167</v>
      </c>
      <c r="BY7" s="16" t="s">
        <v>167</v>
      </c>
      <c r="BZ7" s="16" t="s">
        <v>167</v>
      </c>
      <c r="CA7" s="16" t="s">
        <v>173</v>
      </c>
      <c r="CB7" s="16" t="s">
        <v>173</v>
      </c>
      <c r="CC7" s="16" t="s">
        <v>173</v>
      </c>
      <c r="CD7" s="16" t="s">
        <v>173</v>
      </c>
      <c r="CE7" s="16"/>
      <c r="CF7" s="16" t="s">
        <v>185</v>
      </c>
      <c r="CG7" s="16" t="s">
        <v>185</v>
      </c>
      <c r="CH7" s="16" t="s">
        <v>185</v>
      </c>
      <c r="CI7" s="16" t="s">
        <v>209</v>
      </c>
      <c r="CJ7" s="16" t="s">
        <v>209</v>
      </c>
      <c r="CK7" s="16"/>
      <c r="CL7" s="16"/>
      <c r="CM7" s="16"/>
      <c r="CN7" s="16" t="s">
        <v>218</v>
      </c>
      <c r="CO7" s="16" t="s">
        <v>218</v>
      </c>
      <c r="CP7" s="16"/>
      <c r="CQ7" s="16"/>
      <c r="CR7" s="16" t="s">
        <v>222</v>
      </c>
      <c r="CS7" s="16" t="s">
        <v>222</v>
      </c>
      <c r="CT7" s="16" t="s">
        <v>222</v>
      </c>
      <c r="CU7" s="16"/>
      <c r="CV7" s="16" t="s">
        <v>232</v>
      </c>
      <c r="CW7" s="16" t="s">
        <v>232</v>
      </c>
      <c r="CX7" s="16" t="s">
        <v>232</v>
      </c>
      <c r="CY7" s="16"/>
      <c r="CZ7" s="16"/>
      <c r="DA7" s="16" t="s">
        <v>240</v>
      </c>
      <c r="DB7" s="16" t="s">
        <v>240</v>
      </c>
      <c r="DC7" s="16" t="s">
        <v>240</v>
      </c>
      <c r="DD7" s="16"/>
      <c r="DE7" s="16" t="s">
        <v>248</v>
      </c>
      <c r="DF7" s="16" t="s">
        <v>248</v>
      </c>
      <c r="DG7" s="16" t="s">
        <v>248</v>
      </c>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row>
    <row r="8" spans="2:159" ht="15.6" customHeight="1" x14ac:dyDescent="0.3">
      <c r="B8" s="16" t="str">
        <f t="shared" ref="B8:B9" si="48">B7</f>
        <v>P091381158.001</v>
      </c>
      <c r="C8" s="16" t="str">
        <f t="shared" ref="C8:C9" si="49">C7</f>
        <v>Shield Asy FRT End Port</v>
      </c>
      <c r="D8" s="16" t="s">
        <v>195</v>
      </c>
      <c r="E8" s="16"/>
      <c r="F8" s="16"/>
      <c r="G8" s="16"/>
      <c r="H8" s="16"/>
      <c r="I8" s="16"/>
      <c r="J8" s="16"/>
      <c r="K8" s="16"/>
      <c r="L8" s="16"/>
      <c r="M8" s="16"/>
      <c r="N8" s="16"/>
      <c r="O8" s="16"/>
      <c r="P8" s="16"/>
      <c r="Q8" s="16"/>
      <c r="R8" s="16"/>
      <c r="S8" s="16"/>
      <c r="T8" s="16"/>
      <c r="U8" s="16"/>
      <c r="V8" s="16"/>
      <c r="W8" s="16"/>
      <c r="X8" s="16"/>
      <c r="Y8" s="16"/>
      <c r="Z8" s="16">
        <v>3556</v>
      </c>
      <c r="AA8" s="16"/>
      <c r="AB8" s="16"/>
      <c r="AC8" s="16"/>
      <c r="AD8" s="16">
        <v>8433</v>
      </c>
      <c r="AE8" s="16"/>
      <c r="AF8" s="16"/>
      <c r="AG8" s="16"/>
      <c r="AH8" s="16">
        <f>258+1032</f>
        <v>1290</v>
      </c>
      <c r="AI8" s="16"/>
      <c r="AJ8" s="16"/>
      <c r="AK8" s="16"/>
      <c r="AL8" s="16"/>
      <c r="AM8" s="16">
        <v>1548</v>
      </c>
      <c r="AN8" s="16"/>
      <c r="AO8" s="16"/>
      <c r="AP8" s="16"/>
      <c r="AQ8" s="16">
        <v>4515</v>
      </c>
      <c r="AR8" s="16"/>
      <c r="AS8" s="16"/>
      <c r="AT8" s="16"/>
      <c r="AU8" s="16">
        <v>6450</v>
      </c>
      <c r="AV8" s="16"/>
      <c r="AW8" s="16"/>
      <c r="AX8" s="16"/>
      <c r="AY8" s="16"/>
      <c r="AZ8" s="16">
        <v>8256</v>
      </c>
      <c r="BA8" s="16"/>
      <c r="BB8" s="16"/>
      <c r="BC8" s="16"/>
      <c r="BD8" s="16">
        <v>3870</v>
      </c>
      <c r="BE8" s="16"/>
      <c r="BF8" s="16"/>
      <c r="BG8" s="16"/>
      <c r="BH8" s="16">
        <v>3596</v>
      </c>
      <c r="BI8" s="16"/>
      <c r="BJ8" s="16"/>
      <c r="BK8" s="16"/>
      <c r="BL8" s="16">
        <v>4257</v>
      </c>
      <c r="BM8" s="16">
        <v>5313</v>
      </c>
      <c r="BN8" s="16">
        <v>2322</v>
      </c>
      <c r="BO8" s="16">
        <v>1758</v>
      </c>
      <c r="BP8" s="16">
        <v>645</v>
      </c>
      <c r="BQ8" s="16">
        <f>516+1032</f>
        <v>1548</v>
      </c>
      <c r="BR8" s="16">
        <v>387</v>
      </c>
      <c r="BS8" s="16">
        <v>387</v>
      </c>
      <c r="BT8" s="16">
        <f>129+516</f>
        <v>645</v>
      </c>
      <c r="BU8" s="16">
        <f>1032+645</f>
        <v>1677</v>
      </c>
      <c r="BV8" s="23">
        <f>645+516+168+864</f>
        <v>2193</v>
      </c>
      <c r="BW8" s="23"/>
      <c r="BX8" s="23"/>
      <c r="BY8" s="23">
        <f>258+129+516+516</f>
        <v>1419</v>
      </c>
      <c r="BZ8" s="23">
        <v>468</v>
      </c>
      <c r="CA8" s="23"/>
      <c r="CB8" s="23">
        <v>1248</v>
      </c>
      <c r="CC8" s="23">
        <f>468+304+156+156+156+1092</f>
        <v>2332</v>
      </c>
      <c r="CD8" s="23">
        <v>312</v>
      </c>
      <c r="CE8" s="23">
        <v>2340</v>
      </c>
      <c r="CF8" s="23">
        <v>3588</v>
      </c>
      <c r="CG8" s="23">
        <v>1248</v>
      </c>
      <c r="CH8" s="23">
        <v>1560</v>
      </c>
      <c r="CI8" s="23">
        <v>780</v>
      </c>
      <c r="CJ8" s="16"/>
      <c r="CK8" s="16"/>
      <c r="CL8" s="16"/>
      <c r="CM8" s="16"/>
      <c r="CN8" s="16">
        <v>1560</v>
      </c>
      <c r="CO8" s="16">
        <v>1092</v>
      </c>
      <c r="CP8" s="16"/>
      <c r="CQ8" s="16"/>
      <c r="CR8" s="16">
        <v>1560</v>
      </c>
      <c r="CS8" s="16">
        <v>1092</v>
      </c>
      <c r="CT8" s="16">
        <v>312</v>
      </c>
      <c r="CU8" s="16"/>
      <c r="CV8" s="16">
        <v>624</v>
      </c>
      <c r="CW8" s="16">
        <v>624</v>
      </c>
      <c r="CX8" s="16">
        <v>1092</v>
      </c>
      <c r="CY8" s="16"/>
      <c r="CZ8" s="16"/>
      <c r="DA8" s="16">
        <v>780</v>
      </c>
      <c r="DB8" s="16">
        <v>780</v>
      </c>
      <c r="DC8" s="16">
        <v>624</v>
      </c>
      <c r="DD8" s="32"/>
      <c r="DE8" s="34">
        <v>780</v>
      </c>
      <c r="DF8" s="34">
        <v>1248</v>
      </c>
      <c r="DG8" s="16">
        <v>1248</v>
      </c>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row>
    <row r="9" spans="2:159" s="9" customFormat="1" ht="19.2" customHeight="1" x14ac:dyDescent="0.3">
      <c r="B9" s="16" t="str">
        <f t="shared" si="48"/>
        <v>P091381158.001</v>
      </c>
      <c r="C9" s="16" t="str">
        <f t="shared" si="49"/>
        <v>Shield Asy FRT End Port</v>
      </c>
      <c r="D9" s="16" t="s">
        <v>196</v>
      </c>
      <c r="E9" s="16"/>
      <c r="F9" s="16"/>
      <c r="G9" s="16"/>
      <c r="H9" s="16"/>
      <c r="I9" s="16"/>
      <c r="J9" s="16"/>
      <c r="K9" s="16"/>
      <c r="L9" s="16"/>
      <c r="M9" s="16"/>
      <c r="N9" s="16"/>
      <c r="O9" s="16"/>
      <c r="P9" s="16"/>
      <c r="Q9" s="16"/>
      <c r="R9" s="16"/>
      <c r="S9" s="16"/>
      <c r="T9" s="16"/>
      <c r="U9" s="16"/>
      <c r="V9" s="16"/>
      <c r="W9" s="16"/>
      <c r="X9" s="16"/>
      <c r="Y9" s="16"/>
      <c r="Z9" s="16" t="s">
        <v>135</v>
      </c>
      <c r="AA9" s="16"/>
      <c r="AB9" s="16"/>
      <c r="AC9" s="16"/>
      <c r="AD9" s="16" t="s">
        <v>136</v>
      </c>
      <c r="AE9" s="16"/>
      <c r="AF9" s="16"/>
      <c r="AG9" s="16"/>
      <c r="AH9" s="16" t="s">
        <v>137</v>
      </c>
      <c r="AI9" s="16"/>
      <c r="AJ9" s="16"/>
      <c r="AK9" s="16"/>
      <c r="AL9" s="16"/>
      <c r="AM9" s="16">
        <v>21391</v>
      </c>
      <c r="AN9" s="16"/>
      <c r="AO9" s="16"/>
      <c r="AP9" s="16"/>
      <c r="AQ9" s="16" t="s">
        <v>138</v>
      </c>
      <c r="AR9" s="16"/>
      <c r="AS9" s="16"/>
      <c r="AT9" s="16"/>
      <c r="AU9" s="16" t="s">
        <v>139</v>
      </c>
      <c r="AV9" s="16"/>
      <c r="AW9" s="16"/>
      <c r="AX9" s="16"/>
      <c r="AY9" s="16"/>
      <c r="AZ9" s="16" t="s">
        <v>140</v>
      </c>
      <c r="BA9" s="16"/>
      <c r="BB9" s="16"/>
      <c r="BC9" s="16"/>
      <c r="BD9" s="16" t="s">
        <v>141</v>
      </c>
      <c r="BE9" s="16"/>
      <c r="BF9" s="16"/>
      <c r="BG9" s="16"/>
      <c r="BH9" s="16" t="s">
        <v>142</v>
      </c>
      <c r="BI9" s="16"/>
      <c r="BJ9" s="16"/>
      <c r="BK9" s="16"/>
      <c r="BL9" s="16" t="s">
        <v>143</v>
      </c>
      <c r="BM9" s="16" t="s">
        <v>149</v>
      </c>
      <c r="BN9" s="16" t="s">
        <v>150</v>
      </c>
      <c r="BO9" s="16" t="s">
        <v>153</v>
      </c>
      <c r="BP9" s="16" t="s">
        <v>148</v>
      </c>
      <c r="BQ9" s="16" t="s">
        <v>160</v>
      </c>
      <c r="BR9" s="16" t="s">
        <v>161</v>
      </c>
      <c r="BS9" s="16" t="s">
        <v>162</v>
      </c>
      <c r="BT9" s="16" t="s">
        <v>163</v>
      </c>
      <c r="BU9" s="16" t="s">
        <v>166</v>
      </c>
      <c r="BV9" s="16" t="s">
        <v>169</v>
      </c>
      <c r="BW9" s="16"/>
      <c r="BX9" s="16"/>
      <c r="BY9" s="16" t="s">
        <v>176</v>
      </c>
      <c r="BZ9" s="16" t="s">
        <v>177</v>
      </c>
      <c r="CA9" s="16"/>
      <c r="CB9" s="16" t="s">
        <v>181</v>
      </c>
      <c r="CC9" s="16" t="s">
        <v>183</v>
      </c>
      <c r="CD9" s="16" t="s">
        <v>186</v>
      </c>
      <c r="CE9" s="16"/>
      <c r="CF9" s="16" t="s">
        <v>206</v>
      </c>
      <c r="CG9" s="16" t="s">
        <v>207</v>
      </c>
      <c r="CH9" s="16" t="s">
        <v>211</v>
      </c>
      <c r="CI9" s="16" t="s">
        <v>214</v>
      </c>
      <c r="CJ9" s="16"/>
      <c r="CK9" s="16"/>
      <c r="CL9" s="16"/>
      <c r="CM9" s="16"/>
      <c r="CN9" s="16" t="s">
        <v>219</v>
      </c>
      <c r="CO9" s="16" t="s">
        <v>220</v>
      </c>
      <c r="CP9" s="16"/>
      <c r="CQ9" s="16"/>
      <c r="CR9" s="16" t="s">
        <v>224</v>
      </c>
      <c r="CS9" s="16" t="s">
        <v>227</v>
      </c>
      <c r="CT9" s="16" t="s">
        <v>230</v>
      </c>
      <c r="CU9" s="16"/>
      <c r="CV9" s="16" t="s">
        <v>234</v>
      </c>
      <c r="CW9" s="16" t="s">
        <v>235</v>
      </c>
      <c r="CX9" s="16" t="s">
        <v>237</v>
      </c>
      <c r="CY9" s="16"/>
      <c r="CZ9" s="16"/>
      <c r="DA9" s="16" t="s">
        <v>241</v>
      </c>
      <c r="DB9" s="16" t="s">
        <v>243</v>
      </c>
      <c r="DC9" s="16" t="s">
        <v>245</v>
      </c>
      <c r="DD9" s="16"/>
      <c r="DE9" s="16" t="s">
        <v>250</v>
      </c>
      <c r="DF9" s="16" t="s">
        <v>252</v>
      </c>
      <c r="DG9" s="35" t="s">
        <v>256</v>
      </c>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row>
    <row r="10" spans="2:159" ht="16.2" customHeight="1" x14ac:dyDescent="0.3">
      <c r="B10" s="16" t="str">
        <f>B8</f>
        <v>P091381158.001</v>
      </c>
      <c r="C10" s="16" t="str">
        <f>C8</f>
        <v>Shield Asy FRT End Port</v>
      </c>
      <c r="D10" s="16" t="s">
        <v>197</v>
      </c>
      <c r="E10" s="16">
        <f>0-E5+E7</f>
        <v>-45832</v>
      </c>
      <c r="F10" s="16">
        <f>E10-F5+F7</f>
        <v>-91665</v>
      </c>
      <c r="G10" s="16">
        <f t="shared" ref="G10" si="50">F10-G5+G7</f>
        <v>-137499</v>
      </c>
      <c r="H10" s="16">
        <f t="shared" ref="H10" si="51">G10-H5+H7</f>
        <v>-183334</v>
      </c>
      <c r="I10" s="16">
        <f t="shared" ref="I10" si="52">H10-I5+I7</f>
        <v>-229170</v>
      </c>
      <c r="J10" s="16">
        <f t="shared" ref="J10" si="53">I10-J5+J7</f>
        <v>-275007</v>
      </c>
      <c r="K10" s="16">
        <f t="shared" ref="K10" si="54">J10-K5+K7</f>
        <v>-320845</v>
      </c>
      <c r="L10" s="16">
        <f t="shared" ref="L10" si="55">K10-L5+L7</f>
        <v>-366684</v>
      </c>
      <c r="M10" s="16">
        <f t="shared" ref="M10" si="56">L10-M5+M7</f>
        <v>-412524</v>
      </c>
      <c r="N10" s="16">
        <f t="shared" ref="N10" si="57">M10-N5+N7</f>
        <v>-458365</v>
      </c>
      <c r="O10" s="16">
        <f t="shared" ref="O10" si="58">N10-O5+O7</f>
        <v>-504207</v>
      </c>
      <c r="P10" s="16">
        <f t="shared" ref="P10" si="59">O10-P5+P7</f>
        <v>-550050</v>
      </c>
      <c r="Q10" s="16">
        <f t="shared" ref="Q10" si="60">P10-Q5+Q7</f>
        <v>-595894</v>
      </c>
      <c r="R10" s="16">
        <f t="shared" ref="R10" si="61">Q10-R5+R7</f>
        <v>-641739</v>
      </c>
      <c r="S10" s="16">
        <f t="shared" ref="S10" si="62">R10-S5+S7</f>
        <v>-687585</v>
      </c>
      <c r="T10" s="16">
        <f t="shared" ref="T10" si="63">S10-T5+T7</f>
        <v>-733432</v>
      </c>
      <c r="U10" s="16">
        <f t="shared" ref="U10" si="64">T10-U5+U7</f>
        <v>-779280</v>
      </c>
      <c r="V10" s="16">
        <f>U11-V6+V8</f>
        <v>-1500</v>
      </c>
      <c r="W10" s="16">
        <f t="shared" ref="W10:CH10" si="65">V11-W6+W8</f>
        <v>-2532</v>
      </c>
      <c r="X10" s="16">
        <f t="shared" si="65"/>
        <v>-3564</v>
      </c>
      <c r="Y10" s="16">
        <f t="shared" si="65"/>
        <v>-4596</v>
      </c>
      <c r="Z10" s="16">
        <f t="shared" si="65"/>
        <v>-2072</v>
      </c>
      <c r="AA10" s="16">
        <f t="shared" si="65"/>
        <v>-3620</v>
      </c>
      <c r="AB10" s="16">
        <f t="shared" si="65"/>
        <v>-4652</v>
      </c>
      <c r="AC10" s="16">
        <f t="shared" si="65"/>
        <v>-4652</v>
      </c>
      <c r="AD10" s="16">
        <f t="shared" si="65"/>
        <v>2749</v>
      </c>
      <c r="AE10" s="16">
        <f t="shared" si="65"/>
        <v>2749</v>
      </c>
      <c r="AF10" s="16">
        <f t="shared" si="65"/>
        <v>2749</v>
      </c>
      <c r="AG10" s="16">
        <f t="shared" si="65"/>
        <v>2749</v>
      </c>
      <c r="AH10" s="16">
        <f t="shared" si="65"/>
        <v>3007</v>
      </c>
      <c r="AI10" s="16">
        <f t="shared" si="65"/>
        <v>3007</v>
      </c>
      <c r="AJ10" s="16">
        <f t="shared" si="65"/>
        <v>1459</v>
      </c>
      <c r="AK10" s="16">
        <f t="shared" si="65"/>
        <v>1459</v>
      </c>
      <c r="AL10" s="16">
        <f t="shared" si="65"/>
        <v>1459</v>
      </c>
      <c r="AM10" s="16">
        <f t="shared" si="65"/>
        <v>3007</v>
      </c>
      <c r="AN10" s="16">
        <f t="shared" si="65"/>
        <v>1459</v>
      </c>
      <c r="AO10" s="16">
        <f t="shared" si="65"/>
        <v>-1121</v>
      </c>
      <c r="AP10" s="16">
        <f t="shared" si="65"/>
        <v>-2669</v>
      </c>
      <c r="AQ10" s="16">
        <f t="shared" si="65"/>
        <v>814</v>
      </c>
      <c r="AR10" s="16">
        <f t="shared" si="65"/>
        <v>-734</v>
      </c>
      <c r="AS10" s="16">
        <f t="shared" si="65"/>
        <v>-2282</v>
      </c>
      <c r="AT10" s="16">
        <f t="shared" si="65"/>
        <v>-3830</v>
      </c>
      <c r="AU10" s="16">
        <f t="shared" si="65"/>
        <v>1072</v>
      </c>
      <c r="AV10" s="16">
        <f t="shared" si="65"/>
        <v>-476</v>
      </c>
      <c r="AW10" s="16">
        <f t="shared" si="65"/>
        <v>-2540</v>
      </c>
      <c r="AX10" s="16">
        <f t="shared" si="65"/>
        <v>-4604</v>
      </c>
      <c r="AY10" s="16">
        <f t="shared" si="65"/>
        <v>-6668</v>
      </c>
      <c r="AZ10" s="16">
        <f t="shared" si="65"/>
        <v>40</v>
      </c>
      <c r="BA10" s="16">
        <f t="shared" si="65"/>
        <v>-1508</v>
      </c>
      <c r="BB10" s="16">
        <f t="shared" si="65"/>
        <v>-3056</v>
      </c>
      <c r="BC10" s="16">
        <f t="shared" si="65"/>
        <v>-4604</v>
      </c>
      <c r="BD10" s="16">
        <f t="shared" si="65"/>
        <v>-1766</v>
      </c>
      <c r="BE10" s="16">
        <f t="shared" si="65"/>
        <v>-3314</v>
      </c>
      <c r="BF10" s="16">
        <f t="shared" si="65"/>
        <v>-4862</v>
      </c>
      <c r="BG10" s="16">
        <f t="shared" si="65"/>
        <v>-4862</v>
      </c>
      <c r="BH10" s="16">
        <f t="shared" si="65"/>
        <v>-2298</v>
      </c>
      <c r="BI10" s="16">
        <f t="shared" si="65"/>
        <v>-3846</v>
      </c>
      <c r="BJ10" s="16">
        <f t="shared" si="65"/>
        <v>-4878</v>
      </c>
      <c r="BK10" s="16">
        <f t="shared" si="65"/>
        <v>-5910</v>
      </c>
      <c r="BL10" s="16">
        <f t="shared" si="65"/>
        <v>3225</v>
      </c>
      <c r="BM10" s="16">
        <f t="shared" si="65"/>
        <v>6990</v>
      </c>
      <c r="BN10" s="16">
        <f t="shared" si="65"/>
        <v>7764</v>
      </c>
      <c r="BO10" s="16">
        <f t="shared" si="65"/>
        <v>7974</v>
      </c>
      <c r="BP10" s="16">
        <f t="shared" si="65"/>
        <v>8619</v>
      </c>
      <c r="BQ10" s="16">
        <f t="shared" si="65"/>
        <v>9135</v>
      </c>
      <c r="BR10" s="16">
        <f t="shared" si="65"/>
        <v>8490</v>
      </c>
      <c r="BS10" s="16">
        <f t="shared" si="65"/>
        <v>8877</v>
      </c>
      <c r="BT10" s="16">
        <f t="shared" si="65"/>
        <v>8490</v>
      </c>
      <c r="BU10" s="16">
        <f t="shared" si="65"/>
        <v>9135</v>
      </c>
      <c r="BV10" s="16">
        <f t="shared" si="65"/>
        <v>1161</v>
      </c>
      <c r="BW10" s="16">
        <f t="shared" si="65"/>
        <v>1161</v>
      </c>
      <c r="BX10" s="16">
        <f t="shared" si="65"/>
        <v>129</v>
      </c>
      <c r="BY10" s="16">
        <f t="shared" si="65"/>
        <v>516</v>
      </c>
      <c r="BZ10" s="16">
        <f t="shared" si="65"/>
        <v>-1080</v>
      </c>
      <c r="CA10" s="16">
        <f t="shared" si="65"/>
        <v>-2112</v>
      </c>
      <c r="CB10" s="16">
        <f t="shared" si="65"/>
        <v>-2412</v>
      </c>
      <c r="CC10" s="16">
        <f t="shared" si="65"/>
        <v>-1628</v>
      </c>
      <c r="CD10" s="16">
        <f t="shared" si="65"/>
        <v>-2864</v>
      </c>
      <c r="CE10" s="16">
        <f t="shared" si="65"/>
        <v>-524</v>
      </c>
      <c r="CF10" s="16">
        <f t="shared" si="65"/>
        <v>1516</v>
      </c>
      <c r="CG10" s="16">
        <f t="shared" si="65"/>
        <v>1216</v>
      </c>
      <c r="CH10" s="16">
        <f t="shared" si="65"/>
        <v>1744</v>
      </c>
      <c r="CI10" s="16">
        <f t="shared" ref="CI10:EP10" si="66">CH11-CI6+CI8</f>
        <v>1492</v>
      </c>
      <c r="CJ10" s="16">
        <f t="shared" si="66"/>
        <v>460</v>
      </c>
      <c r="CK10" s="16">
        <f t="shared" si="66"/>
        <v>460</v>
      </c>
      <c r="CL10" s="16">
        <f t="shared" si="66"/>
        <v>460</v>
      </c>
      <c r="CM10" s="16">
        <f t="shared" si="66"/>
        <v>460</v>
      </c>
      <c r="CN10" s="16">
        <f t="shared" si="66"/>
        <v>0</v>
      </c>
      <c r="CO10" s="16">
        <f t="shared" si="66"/>
        <v>0</v>
      </c>
      <c r="CP10" s="16">
        <f t="shared" si="66"/>
        <v>0</v>
      </c>
      <c r="CQ10" s="16">
        <f t="shared" si="66"/>
        <v>0</v>
      </c>
      <c r="CR10" s="16">
        <f t="shared" si="66"/>
        <v>0</v>
      </c>
      <c r="CS10" s="16">
        <f t="shared" si="66"/>
        <v>0</v>
      </c>
      <c r="CT10" s="16">
        <f t="shared" si="66"/>
        <v>0</v>
      </c>
      <c r="CU10" s="16">
        <f t="shared" si="66"/>
        <v>0</v>
      </c>
      <c r="CV10" s="16">
        <f t="shared" si="66"/>
        <v>0</v>
      </c>
      <c r="CW10" s="16">
        <f t="shared" si="66"/>
        <v>0</v>
      </c>
      <c r="CX10" s="16">
        <f t="shared" si="66"/>
        <v>0</v>
      </c>
      <c r="CY10" s="16">
        <f t="shared" si="66"/>
        <v>0</v>
      </c>
      <c r="CZ10" s="16">
        <f t="shared" si="66"/>
        <v>0</v>
      </c>
      <c r="DA10" s="16">
        <f t="shared" si="66"/>
        <v>0</v>
      </c>
      <c r="DB10" s="16">
        <f t="shared" si="66"/>
        <v>0</v>
      </c>
      <c r="DC10" s="16">
        <f t="shared" si="66"/>
        <v>0</v>
      </c>
      <c r="DD10" s="33">
        <f>DC11-DD6+DD8</f>
        <v>0</v>
      </c>
      <c r="DE10" s="33">
        <f>0-DE6+DE8</f>
        <v>-312</v>
      </c>
      <c r="DF10" s="33">
        <f>0-DF6+DF8</f>
        <v>312</v>
      </c>
      <c r="DG10" s="33">
        <f t="shared" ref="DG10:DH10" si="67">0-DG6+DG8</f>
        <v>156</v>
      </c>
      <c r="DH10" s="33">
        <f t="shared" si="67"/>
        <v>0</v>
      </c>
      <c r="DI10" s="33">
        <f t="shared" si="66"/>
        <v>0</v>
      </c>
      <c r="DJ10" s="33">
        <f>DI11-DJ6+DJ8</f>
        <v>0</v>
      </c>
      <c r="DK10" s="33">
        <f t="shared" si="66"/>
        <v>0</v>
      </c>
      <c r="DL10" s="33">
        <f t="shared" si="66"/>
        <v>0</v>
      </c>
      <c r="DM10" s="33">
        <f t="shared" si="66"/>
        <v>0</v>
      </c>
      <c r="DN10" s="33">
        <f t="shared" si="66"/>
        <v>0</v>
      </c>
      <c r="DO10" s="33">
        <f t="shared" si="66"/>
        <v>0</v>
      </c>
      <c r="DP10" s="33">
        <f t="shared" si="66"/>
        <v>-936</v>
      </c>
      <c r="DQ10" s="33">
        <f t="shared" si="66"/>
        <v>-2340</v>
      </c>
      <c r="DR10" s="33">
        <f t="shared" si="66"/>
        <v>-1248</v>
      </c>
      <c r="DS10" s="33">
        <f t="shared" si="66"/>
        <v>-1092</v>
      </c>
      <c r="DT10" s="33">
        <f t="shared" si="66"/>
        <v>-780</v>
      </c>
      <c r="DU10" s="33">
        <f t="shared" si="66"/>
        <v>0</v>
      </c>
      <c r="DV10" s="33">
        <f t="shared" si="66"/>
        <v>-780</v>
      </c>
      <c r="DW10" s="33">
        <f t="shared" si="66"/>
        <v>-780</v>
      </c>
      <c r="DX10" s="33">
        <f t="shared" si="66"/>
        <v>-1092</v>
      </c>
      <c r="DY10" s="33">
        <f t="shared" si="66"/>
        <v>-780</v>
      </c>
      <c r="DZ10" s="33">
        <f t="shared" si="66"/>
        <v>0</v>
      </c>
      <c r="EA10" s="33">
        <f t="shared" si="66"/>
        <v>-1092</v>
      </c>
      <c r="EB10" s="33">
        <f t="shared" si="66"/>
        <v>-156</v>
      </c>
      <c r="EC10" s="33">
        <f t="shared" si="66"/>
        <v>-1092</v>
      </c>
      <c r="ED10" s="33">
        <f t="shared" si="66"/>
        <v>-468</v>
      </c>
      <c r="EE10" s="33">
        <f t="shared" si="66"/>
        <v>-1092</v>
      </c>
      <c r="EF10" s="33">
        <f t="shared" si="66"/>
        <v>-312</v>
      </c>
      <c r="EG10" s="33">
        <f t="shared" si="66"/>
        <v>-624</v>
      </c>
      <c r="EH10" s="33">
        <f t="shared" si="66"/>
        <v>0</v>
      </c>
      <c r="EI10" s="33">
        <f t="shared" si="66"/>
        <v>0</v>
      </c>
      <c r="EJ10" s="33">
        <f t="shared" si="66"/>
        <v>-2340</v>
      </c>
      <c r="EK10" s="33">
        <f t="shared" si="66"/>
        <v>-780</v>
      </c>
      <c r="EL10" s="33">
        <f t="shared" si="66"/>
        <v>0</v>
      </c>
      <c r="EM10" s="33">
        <f t="shared" si="66"/>
        <v>0</v>
      </c>
      <c r="EN10" s="33">
        <f t="shared" si="66"/>
        <v>-1248</v>
      </c>
      <c r="EO10" s="33">
        <f t="shared" si="66"/>
        <v>0</v>
      </c>
      <c r="EP10" s="33">
        <f t="shared" si="66"/>
        <v>-1560</v>
      </c>
      <c r="EQ10" s="33">
        <f t="shared" ref="EQ10" si="68">EP11-EQ6+EQ8</f>
        <v>0</v>
      </c>
      <c r="ER10" s="33">
        <f t="shared" ref="ER10" si="69">EQ11-ER6+ER8</f>
        <v>-780</v>
      </c>
      <c r="ES10" s="33">
        <f t="shared" ref="ES10" si="70">ER11-ES6+ES8</f>
        <v>0</v>
      </c>
      <c r="ET10" s="33">
        <f t="shared" ref="ET10" si="71">ES11-ET6+ET8</f>
        <v>-1560</v>
      </c>
      <c r="EU10" s="33">
        <f t="shared" ref="EU10" si="72">ET11-EU6+EU8</f>
        <v>0</v>
      </c>
      <c r="EV10" s="33">
        <f t="shared" ref="EV10" si="73">EU11-EV6+EV8</f>
        <v>0</v>
      </c>
      <c r="EW10" s="33">
        <f t="shared" ref="EW10" si="74">EV11-EW6+EW8</f>
        <v>-1560</v>
      </c>
      <c r="EX10" s="33">
        <f t="shared" ref="EX10" si="75">EW11-EX6+EX8</f>
        <v>-1560</v>
      </c>
      <c r="EY10" s="33">
        <f t="shared" ref="EY10" si="76">EX11-EY6+EY8</f>
        <v>0</v>
      </c>
      <c r="EZ10" s="33">
        <f t="shared" ref="EZ10" si="77">EY11-EZ6+EZ8</f>
        <v>0</v>
      </c>
      <c r="FA10" s="33">
        <f t="shared" ref="FA10" si="78">EZ11-FA6+FA8</f>
        <v>-1560</v>
      </c>
    </row>
    <row r="11" spans="2:159" ht="16.2" customHeight="1" x14ac:dyDescent="0.3">
      <c r="B11" s="16" t="str">
        <f>B9</f>
        <v>P091381158.001</v>
      </c>
      <c r="C11" s="16" t="str">
        <f>C9</f>
        <v>Shield Asy FRT End Port</v>
      </c>
      <c r="D11" s="30" t="s">
        <v>253</v>
      </c>
      <c r="E11" s="16">
        <f>0-E6+E8</f>
        <v>0</v>
      </c>
      <c r="F11" s="16">
        <f>E11-F6+F8</f>
        <v>0</v>
      </c>
      <c r="G11" s="16">
        <f t="shared" ref="G11:BR11" si="79">F11-G6+G8</f>
        <v>0</v>
      </c>
      <c r="H11" s="16">
        <f t="shared" si="79"/>
        <v>0</v>
      </c>
      <c r="I11" s="16">
        <f t="shared" si="79"/>
        <v>0</v>
      </c>
      <c r="J11" s="16">
        <f t="shared" si="79"/>
        <v>0</v>
      </c>
      <c r="K11" s="16">
        <f t="shared" si="79"/>
        <v>0</v>
      </c>
      <c r="L11" s="16">
        <f t="shared" si="79"/>
        <v>0</v>
      </c>
      <c r="M11" s="16">
        <f t="shared" si="79"/>
        <v>0</v>
      </c>
      <c r="N11" s="16">
        <f t="shared" si="79"/>
        <v>0</v>
      </c>
      <c r="O11" s="16">
        <f t="shared" si="79"/>
        <v>0</v>
      </c>
      <c r="P11" s="16">
        <f t="shared" si="79"/>
        <v>0</v>
      </c>
      <c r="Q11" s="16">
        <f t="shared" si="79"/>
        <v>0</v>
      </c>
      <c r="R11" s="16">
        <f t="shared" si="79"/>
        <v>0</v>
      </c>
      <c r="S11" s="16">
        <f t="shared" si="79"/>
        <v>0</v>
      </c>
      <c r="T11" s="16">
        <f t="shared" si="79"/>
        <v>0</v>
      </c>
      <c r="U11" s="16">
        <f t="shared" si="79"/>
        <v>0</v>
      </c>
      <c r="V11" s="16">
        <f t="shared" si="79"/>
        <v>-1500</v>
      </c>
      <c r="W11" s="16">
        <f t="shared" si="79"/>
        <v>-2532</v>
      </c>
      <c r="X11" s="16">
        <f t="shared" si="79"/>
        <v>-3564</v>
      </c>
      <c r="Y11" s="16">
        <f t="shared" si="79"/>
        <v>-4596</v>
      </c>
      <c r="Z11" s="16">
        <f t="shared" si="79"/>
        <v>-2072</v>
      </c>
      <c r="AA11" s="16">
        <f t="shared" si="79"/>
        <v>-3620</v>
      </c>
      <c r="AB11" s="16">
        <f t="shared" si="79"/>
        <v>-4652</v>
      </c>
      <c r="AC11" s="16">
        <f t="shared" si="79"/>
        <v>-4652</v>
      </c>
      <c r="AD11" s="16">
        <f t="shared" si="79"/>
        <v>2749</v>
      </c>
      <c r="AE11" s="16">
        <f t="shared" si="79"/>
        <v>2749</v>
      </c>
      <c r="AF11" s="16">
        <f t="shared" si="79"/>
        <v>2749</v>
      </c>
      <c r="AG11" s="16">
        <f t="shared" si="79"/>
        <v>2749</v>
      </c>
      <c r="AH11" s="16">
        <f t="shared" si="79"/>
        <v>3007</v>
      </c>
      <c r="AI11" s="16">
        <f t="shared" si="79"/>
        <v>3007</v>
      </c>
      <c r="AJ11" s="16">
        <f t="shared" si="79"/>
        <v>1459</v>
      </c>
      <c r="AK11" s="16">
        <f t="shared" si="79"/>
        <v>1459</v>
      </c>
      <c r="AL11" s="16">
        <f t="shared" si="79"/>
        <v>1459</v>
      </c>
      <c r="AM11" s="16">
        <f t="shared" si="79"/>
        <v>3007</v>
      </c>
      <c r="AN11" s="16">
        <f t="shared" si="79"/>
        <v>1459</v>
      </c>
      <c r="AO11" s="16">
        <f t="shared" si="79"/>
        <v>-1121</v>
      </c>
      <c r="AP11" s="16">
        <f t="shared" si="79"/>
        <v>-2669</v>
      </c>
      <c r="AQ11" s="16">
        <f t="shared" si="79"/>
        <v>814</v>
      </c>
      <c r="AR11" s="16">
        <f t="shared" si="79"/>
        <v>-734</v>
      </c>
      <c r="AS11" s="16">
        <f t="shared" si="79"/>
        <v>-2282</v>
      </c>
      <c r="AT11" s="16">
        <f t="shared" si="79"/>
        <v>-3830</v>
      </c>
      <c r="AU11" s="16">
        <f t="shared" si="79"/>
        <v>1072</v>
      </c>
      <c r="AV11" s="16">
        <f t="shared" si="79"/>
        <v>-476</v>
      </c>
      <c r="AW11" s="16">
        <f t="shared" si="79"/>
        <v>-2540</v>
      </c>
      <c r="AX11" s="16">
        <f t="shared" si="79"/>
        <v>-4604</v>
      </c>
      <c r="AY11" s="16">
        <f t="shared" si="79"/>
        <v>-6668</v>
      </c>
      <c r="AZ11" s="16">
        <f t="shared" si="79"/>
        <v>40</v>
      </c>
      <c r="BA11" s="16">
        <f t="shared" si="79"/>
        <v>-1508</v>
      </c>
      <c r="BB11" s="16">
        <f t="shared" si="79"/>
        <v>-3056</v>
      </c>
      <c r="BC11" s="16">
        <f t="shared" si="79"/>
        <v>-4604</v>
      </c>
      <c r="BD11" s="16">
        <f t="shared" si="79"/>
        <v>-1766</v>
      </c>
      <c r="BE11" s="16">
        <f t="shared" si="79"/>
        <v>-3314</v>
      </c>
      <c r="BF11" s="16">
        <f t="shared" si="79"/>
        <v>-4862</v>
      </c>
      <c r="BG11" s="16">
        <f t="shared" si="79"/>
        <v>-4862</v>
      </c>
      <c r="BH11" s="16">
        <f t="shared" si="79"/>
        <v>-2298</v>
      </c>
      <c r="BI11" s="16">
        <f t="shared" si="79"/>
        <v>-3846</v>
      </c>
      <c r="BJ11" s="16">
        <f t="shared" si="79"/>
        <v>-4878</v>
      </c>
      <c r="BK11" s="16">
        <v>0</v>
      </c>
      <c r="BL11" s="16">
        <f>BK11-BL6+BL8</f>
        <v>3225</v>
      </c>
      <c r="BM11" s="16">
        <f t="shared" si="79"/>
        <v>6990</v>
      </c>
      <c r="BN11" s="16">
        <f>BM11-BN6+BN8</f>
        <v>7764</v>
      </c>
      <c r="BO11" s="16">
        <f>BN11-BO6+BO8</f>
        <v>7974</v>
      </c>
      <c r="BP11" s="16">
        <f t="shared" si="79"/>
        <v>8619</v>
      </c>
      <c r="BQ11" s="16">
        <f>BP11-BQ6+BQ8</f>
        <v>9135</v>
      </c>
      <c r="BR11" s="16">
        <f t="shared" si="79"/>
        <v>8490</v>
      </c>
      <c r="BS11" s="16">
        <f t="shared" ref="BS11:BT11" si="80">BR11-BS6+BS8</f>
        <v>8877</v>
      </c>
      <c r="BT11" s="16">
        <f t="shared" si="80"/>
        <v>8490</v>
      </c>
      <c r="BU11" s="16">
        <v>0</v>
      </c>
      <c r="BV11" s="16">
        <f>BU11-BV6+BV8</f>
        <v>1161</v>
      </c>
      <c r="BW11" s="16">
        <f t="shared" ref="BW11" si="81">BV11-BW6+BW8</f>
        <v>1161</v>
      </c>
      <c r="BX11" s="16">
        <f t="shared" ref="BX11" si="82">BW11-BX6+BX8</f>
        <v>129</v>
      </c>
      <c r="BY11" s="16">
        <f t="shared" ref="BY11" si="83">BX11-BY6+BY8</f>
        <v>516</v>
      </c>
      <c r="BZ11" s="16">
        <f t="shared" ref="BZ11" si="84">BY11-BZ6+BZ8</f>
        <v>-1080</v>
      </c>
      <c r="CA11" s="16">
        <f t="shared" ref="CA11" si="85">BZ11-CA6+CA8</f>
        <v>-2112</v>
      </c>
      <c r="CB11" s="16">
        <f t="shared" ref="CB11" si="86">CA11-CB6+CB8</f>
        <v>-2412</v>
      </c>
      <c r="CC11" s="16">
        <f t="shared" ref="CC11" si="87">CB11-CC6+CC8</f>
        <v>-1628</v>
      </c>
      <c r="CD11" s="16">
        <f t="shared" ref="CD11" si="88">CC11-CD6+CD8</f>
        <v>-2864</v>
      </c>
      <c r="CE11" s="16">
        <f t="shared" ref="CE11" si="89">CD11-CE6+CE8</f>
        <v>-524</v>
      </c>
      <c r="CF11" s="16">
        <f t="shared" ref="CF11" si="90">CE11-CF6+CF8</f>
        <v>1516</v>
      </c>
      <c r="CG11" s="16">
        <f t="shared" ref="CG11" si="91">CF11-CG6+CG8</f>
        <v>1216</v>
      </c>
      <c r="CH11" s="16">
        <f t="shared" ref="CH11" si="92">CG11-CH6+CH8</f>
        <v>1744</v>
      </c>
      <c r="CI11" s="16">
        <f t="shared" ref="CI11" si="93">CH11-CI6+CI8</f>
        <v>1492</v>
      </c>
      <c r="CJ11" s="16">
        <f t="shared" ref="CJ11" si="94">CI11-CJ6+CJ8</f>
        <v>460</v>
      </c>
      <c r="CK11" s="16">
        <f t="shared" ref="CK11" si="95">CJ11-CK6+CK8</f>
        <v>460</v>
      </c>
      <c r="CL11" s="16">
        <f t="shared" ref="CL11" si="96">CK11-CL6+CL8</f>
        <v>460</v>
      </c>
      <c r="CM11" s="16">
        <v>0</v>
      </c>
      <c r="CN11" s="16">
        <f>CM11-CN6+CN8</f>
        <v>0</v>
      </c>
      <c r="CO11" s="16">
        <f t="shared" ref="CO11" si="97">CN11-CO6+CO8</f>
        <v>0</v>
      </c>
      <c r="CP11" s="16">
        <f t="shared" ref="CP11" si="98">CO11-CP6+CP8</f>
        <v>0</v>
      </c>
      <c r="CQ11" s="16">
        <f t="shared" ref="CQ11" si="99">CP11-CQ6+CQ8</f>
        <v>0</v>
      </c>
      <c r="CR11" s="16">
        <f t="shared" ref="CR11" si="100">CQ11-CR6+CR8</f>
        <v>0</v>
      </c>
      <c r="CS11" s="16">
        <f t="shared" ref="CS11" si="101">CR11-CS6+CS8</f>
        <v>0</v>
      </c>
      <c r="CT11" s="16">
        <f t="shared" ref="CT11" si="102">CS11-CT6+CT8</f>
        <v>0</v>
      </c>
      <c r="CU11" s="16">
        <f t="shared" ref="CU11" si="103">CT11-CU6+CU8</f>
        <v>0</v>
      </c>
      <c r="CV11" s="16">
        <f t="shared" ref="CV11" si="104">CU11-CV6+CV8</f>
        <v>0</v>
      </c>
      <c r="CW11" s="16">
        <f t="shared" ref="CW11" si="105">CV11-CW6+CW8</f>
        <v>0</v>
      </c>
      <c r="CX11" s="16">
        <f t="shared" ref="CX11" si="106">CW11-CX6+CX8</f>
        <v>0</v>
      </c>
      <c r="CY11" s="16">
        <f t="shared" ref="CY11" si="107">CX11-CY6+CY8</f>
        <v>0</v>
      </c>
      <c r="CZ11" s="16">
        <f t="shared" ref="CZ11" si="108">CY11-CZ6+CZ8</f>
        <v>0</v>
      </c>
      <c r="DA11" s="16">
        <f t="shared" ref="DA11" si="109">CZ11-DA6+DA8</f>
        <v>0</v>
      </c>
      <c r="DB11" s="16">
        <f t="shared" ref="DB11" si="110">DA11-DB6+DB8</f>
        <v>0</v>
      </c>
      <c r="DC11" s="16">
        <f t="shared" ref="DC11" si="111">DB11-DC6+DC8</f>
        <v>0</v>
      </c>
      <c r="DD11" s="33">
        <f t="shared" ref="DD11" si="112">DC11-DD6+DD8</f>
        <v>0</v>
      </c>
      <c r="DE11" s="33">
        <f>DD10-DE6+DE8</f>
        <v>-312</v>
      </c>
      <c r="DF11" s="33">
        <f t="shared" ref="DF11" si="113">DE10-DF6+DF8</f>
        <v>0</v>
      </c>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row>
    <row r="12" spans="2:159" ht="17.399999999999999" customHeight="1" x14ac:dyDescent="0.3">
      <c r="B12" s="15" t="s">
        <v>8</v>
      </c>
      <c r="C12" s="15" t="s">
        <v>9</v>
      </c>
      <c r="D12" s="15" t="s">
        <v>193</v>
      </c>
      <c r="E12" s="15">
        <v>0</v>
      </c>
      <c r="F12" s="15">
        <v>0</v>
      </c>
      <c r="G12" s="15">
        <v>0</v>
      </c>
      <c r="H12" s="15">
        <v>0</v>
      </c>
      <c r="I12" s="15">
        <v>0</v>
      </c>
      <c r="J12" s="15">
        <v>0</v>
      </c>
      <c r="K12" s="15">
        <v>0</v>
      </c>
      <c r="L12" s="15">
        <v>0</v>
      </c>
      <c r="M12" s="15">
        <v>0</v>
      </c>
      <c r="N12" s="15">
        <v>0</v>
      </c>
      <c r="O12" s="15">
        <v>0</v>
      </c>
      <c r="P12" s="15">
        <v>0</v>
      </c>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v>5040</v>
      </c>
      <c r="AW12" s="15">
        <v>5040</v>
      </c>
      <c r="AX12" s="15">
        <v>5040</v>
      </c>
      <c r="AY12" s="15">
        <v>4320</v>
      </c>
      <c r="AZ12" s="15">
        <v>2880</v>
      </c>
      <c r="BA12" s="15">
        <v>4000</v>
      </c>
      <c r="BB12" s="15">
        <v>4000</v>
      </c>
      <c r="BC12" s="15">
        <v>4000</v>
      </c>
      <c r="BD12" s="15">
        <v>4000</v>
      </c>
      <c r="BE12" s="15">
        <v>4000</v>
      </c>
      <c r="BF12" s="15">
        <v>4000</v>
      </c>
      <c r="BG12" s="15">
        <v>4000</v>
      </c>
      <c r="BH12" s="15">
        <v>4000</v>
      </c>
      <c r="BI12" s="15">
        <v>4000</v>
      </c>
      <c r="BJ12" s="15">
        <f>BI12-BJ8+BJ11</f>
        <v>-878</v>
      </c>
      <c r="BK12" s="15">
        <v>4000</v>
      </c>
      <c r="BL12" s="15">
        <v>4000</v>
      </c>
      <c r="BM12" s="15">
        <v>4000</v>
      </c>
      <c r="BN12" s="15">
        <v>2880</v>
      </c>
      <c r="BO12" s="15">
        <v>2880</v>
      </c>
      <c r="BP12" s="15"/>
      <c r="BQ12" s="15">
        <v>4000</v>
      </c>
      <c r="BR12" s="15">
        <v>4320</v>
      </c>
      <c r="BS12" s="15"/>
      <c r="BT12" s="15">
        <v>4320</v>
      </c>
      <c r="BU12" s="15">
        <v>4000</v>
      </c>
      <c r="BV12" s="15">
        <v>4000</v>
      </c>
      <c r="BW12" s="15">
        <v>4000</v>
      </c>
      <c r="BX12" s="15">
        <v>4000</v>
      </c>
      <c r="BY12" s="15">
        <v>4000</v>
      </c>
      <c r="BZ12" s="15">
        <v>4000</v>
      </c>
      <c r="CA12" s="15">
        <v>4000</v>
      </c>
      <c r="CB12" s="15">
        <v>4000</v>
      </c>
      <c r="CC12" s="15">
        <v>4000</v>
      </c>
      <c r="CD12" s="15">
        <v>4000</v>
      </c>
      <c r="CE12" s="15">
        <v>4000</v>
      </c>
      <c r="CF12" s="15">
        <v>4000</v>
      </c>
      <c r="CG12" s="15">
        <v>4000</v>
      </c>
      <c r="CH12" s="15">
        <v>4000</v>
      </c>
      <c r="CI12" s="15">
        <v>4000</v>
      </c>
      <c r="CJ12" s="15">
        <v>4000</v>
      </c>
      <c r="CK12" s="15"/>
      <c r="CL12" s="15"/>
      <c r="CM12" s="15"/>
      <c r="CN12" s="15">
        <v>1080</v>
      </c>
      <c r="CO12" s="15"/>
      <c r="CP12" s="15"/>
      <c r="CQ12" s="15"/>
      <c r="CR12" s="15">
        <v>3960</v>
      </c>
      <c r="CS12" s="15">
        <v>2880</v>
      </c>
      <c r="CT12" s="15">
        <v>3240</v>
      </c>
      <c r="CU12" s="15"/>
      <c r="CV12" s="15">
        <v>5400</v>
      </c>
      <c r="CW12" s="15">
        <v>4320</v>
      </c>
      <c r="CX12" s="15">
        <v>3564</v>
      </c>
      <c r="CY12" s="15"/>
      <c r="CZ12" s="15"/>
      <c r="DA12" s="15">
        <v>5940</v>
      </c>
      <c r="DB12" s="15">
        <v>4428</v>
      </c>
      <c r="DC12" s="15">
        <v>5400</v>
      </c>
      <c r="DD12" s="15">
        <v>3780</v>
      </c>
      <c r="DE12" s="15">
        <v>5400</v>
      </c>
      <c r="DF12" s="15">
        <v>5400</v>
      </c>
      <c r="DG12" s="15">
        <v>5400</v>
      </c>
      <c r="DH12" s="15"/>
      <c r="DI12" s="37">
        <v>5940</v>
      </c>
      <c r="DJ12" s="37">
        <v>2700</v>
      </c>
      <c r="DK12" s="37">
        <f>3240+1404</f>
        <v>4644</v>
      </c>
      <c r="DL12" s="37">
        <v>4320</v>
      </c>
      <c r="DM12" s="37">
        <v>1080</v>
      </c>
      <c r="DN12" s="37">
        <v>4752</v>
      </c>
      <c r="DO12" s="37">
        <v>3780</v>
      </c>
      <c r="DP12" s="37">
        <v>5400</v>
      </c>
      <c r="DQ12" s="37">
        <v>2700</v>
      </c>
      <c r="DR12" s="37">
        <v>4860</v>
      </c>
      <c r="DS12" s="37">
        <v>4860</v>
      </c>
      <c r="DT12" s="37">
        <v>4320</v>
      </c>
      <c r="DU12" s="37">
        <v>4860</v>
      </c>
      <c r="DV12" s="37">
        <v>5076</v>
      </c>
      <c r="DW12" s="37">
        <v>4320</v>
      </c>
      <c r="DX12" s="37">
        <v>3240</v>
      </c>
      <c r="DY12" s="37">
        <v>4320</v>
      </c>
      <c r="DZ12" s="37">
        <v>4320</v>
      </c>
      <c r="EA12" s="37">
        <v>4320</v>
      </c>
      <c r="EB12" s="37">
        <v>3780</v>
      </c>
      <c r="EC12" s="37">
        <v>4320</v>
      </c>
      <c r="ED12" s="37">
        <v>4860</v>
      </c>
      <c r="EE12" s="37">
        <v>4860</v>
      </c>
      <c r="EF12" s="37">
        <v>3240</v>
      </c>
      <c r="EG12" s="37">
        <v>3780</v>
      </c>
      <c r="EH12" s="37">
        <v>3780</v>
      </c>
      <c r="EI12" s="37">
        <v>4320</v>
      </c>
      <c r="EJ12" s="37">
        <v>5400</v>
      </c>
      <c r="EK12" s="37">
        <v>5400</v>
      </c>
      <c r="EL12" s="15"/>
      <c r="EM12" s="15"/>
      <c r="EN12" s="37">
        <v>5940</v>
      </c>
      <c r="EO12" s="37">
        <v>5940</v>
      </c>
      <c r="EP12" s="37">
        <v>5940</v>
      </c>
      <c r="EQ12" s="37">
        <v>5400</v>
      </c>
      <c r="ER12" s="37">
        <v>5940</v>
      </c>
      <c r="ES12" s="37">
        <v>5400</v>
      </c>
      <c r="ET12" s="37">
        <v>5400</v>
      </c>
      <c r="EU12" s="37">
        <v>5400</v>
      </c>
      <c r="EV12" s="37">
        <v>5400</v>
      </c>
      <c r="EW12" s="37">
        <v>5400</v>
      </c>
      <c r="EX12" s="37">
        <v>5400</v>
      </c>
      <c r="EY12" s="37">
        <v>5400</v>
      </c>
      <c r="EZ12" s="37">
        <v>5400</v>
      </c>
      <c r="FA12" s="37">
        <v>5400</v>
      </c>
      <c r="FB12" s="6"/>
    </row>
    <row r="13" spans="2:159" ht="15.6" customHeight="1" x14ac:dyDescent="0.3">
      <c r="B13" s="16" t="str">
        <f>B12</f>
        <v>P091381104.004</v>
      </c>
      <c r="C13" s="16" t="str">
        <f>C12</f>
        <v>Air Baffle</v>
      </c>
      <c r="D13" s="16" t="s">
        <v>194</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t="s">
        <v>133</v>
      </c>
      <c r="BC13" s="16" t="s">
        <v>133</v>
      </c>
      <c r="BD13" s="16"/>
      <c r="BE13" s="16"/>
      <c r="BF13" s="16"/>
      <c r="BG13" s="16"/>
      <c r="BH13" s="16"/>
      <c r="BI13" s="16"/>
      <c r="BJ13" s="16"/>
      <c r="BK13" s="16"/>
      <c r="BL13" s="16" t="s">
        <v>134</v>
      </c>
      <c r="BM13" s="16" t="s">
        <v>158</v>
      </c>
      <c r="BN13" s="16" t="s">
        <v>158</v>
      </c>
      <c r="BO13" s="16" t="s">
        <v>158</v>
      </c>
      <c r="BP13" s="16" t="s">
        <v>158</v>
      </c>
      <c r="BQ13" s="16" t="s">
        <v>156</v>
      </c>
      <c r="BR13" s="16" t="s">
        <v>156</v>
      </c>
      <c r="BS13" s="16"/>
      <c r="BT13" s="16" t="s">
        <v>156</v>
      </c>
      <c r="BU13" s="16" t="s">
        <v>156</v>
      </c>
      <c r="BV13" s="16" t="s">
        <v>168</v>
      </c>
      <c r="BW13" s="16" t="s">
        <v>168</v>
      </c>
      <c r="BX13" s="16" t="s">
        <v>168</v>
      </c>
      <c r="BY13" s="16" t="s">
        <v>168</v>
      </c>
      <c r="BZ13" s="16" t="s">
        <v>168</v>
      </c>
      <c r="CA13" s="16" t="s">
        <v>174</v>
      </c>
      <c r="CB13" s="16" t="s">
        <v>174</v>
      </c>
      <c r="CC13" s="16" t="s">
        <v>174</v>
      </c>
      <c r="CD13" s="16" t="s">
        <v>174</v>
      </c>
      <c r="CE13" s="16" t="s">
        <v>184</v>
      </c>
      <c r="CF13" s="16" t="s">
        <v>184</v>
      </c>
      <c r="CG13" s="16" t="s">
        <v>184</v>
      </c>
      <c r="CH13" s="16" t="s">
        <v>184</v>
      </c>
      <c r="CI13" s="16" t="s">
        <v>210</v>
      </c>
      <c r="CJ13" s="16" t="s">
        <v>210</v>
      </c>
      <c r="CK13" s="16"/>
      <c r="CL13" s="16"/>
      <c r="CM13" s="16"/>
      <c r="CN13" s="16" t="s">
        <v>217</v>
      </c>
      <c r="CO13" s="16"/>
      <c r="CP13" s="16"/>
      <c r="CQ13" s="16"/>
      <c r="CR13" s="16" t="s">
        <v>223</v>
      </c>
      <c r="CS13" s="16" t="s">
        <v>223</v>
      </c>
      <c r="CT13" s="16" t="s">
        <v>223</v>
      </c>
      <c r="CU13" s="16"/>
      <c r="CV13" s="16" t="s">
        <v>231</v>
      </c>
      <c r="CW13" s="16" t="s">
        <v>231</v>
      </c>
      <c r="CX13" s="16" t="s">
        <v>231</v>
      </c>
      <c r="CY13" s="16"/>
      <c r="CZ13" s="16"/>
      <c r="DA13" s="16" t="s">
        <v>239</v>
      </c>
      <c r="DB13" s="16" t="s">
        <v>239</v>
      </c>
      <c r="DC13" s="16" t="s">
        <v>239</v>
      </c>
      <c r="DD13" s="16" t="s">
        <v>239</v>
      </c>
      <c r="DE13" s="16" t="s">
        <v>249</v>
      </c>
      <c r="DF13" s="16" t="s">
        <v>249</v>
      </c>
      <c r="DG13" s="16" t="s">
        <v>249</v>
      </c>
      <c r="DH13" s="16"/>
      <c r="DI13" s="16" t="s">
        <v>258</v>
      </c>
      <c r="DJ13" s="16" t="s">
        <v>260</v>
      </c>
      <c r="DK13" s="16" t="s">
        <v>258</v>
      </c>
      <c r="DL13" s="16" t="s">
        <v>262</v>
      </c>
      <c r="DM13" s="16" t="s">
        <v>265</v>
      </c>
      <c r="DN13" s="16" t="s">
        <v>265</v>
      </c>
      <c r="DO13" s="16" t="s">
        <v>267</v>
      </c>
      <c r="DP13" s="16" t="s">
        <v>267</v>
      </c>
      <c r="DQ13" s="16" t="s">
        <v>267</v>
      </c>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row>
    <row r="14" spans="2:159" x14ac:dyDescent="0.3">
      <c r="B14" s="16" t="str">
        <f>B13</f>
        <v>P091381104.004</v>
      </c>
      <c r="C14" s="16" t="str">
        <f>C13</f>
        <v>Air Baffle</v>
      </c>
      <c r="D14" s="16" t="s">
        <v>195</v>
      </c>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v>11554</v>
      </c>
      <c r="BA14" s="16"/>
      <c r="BB14" s="16"/>
      <c r="BC14" s="16"/>
      <c r="BD14" s="16">
        <v>11124</v>
      </c>
      <c r="BE14" s="16"/>
      <c r="BF14" s="16"/>
      <c r="BG14" s="16"/>
      <c r="BH14" s="16">
        <v>15660</v>
      </c>
      <c r="BI14" s="16"/>
      <c r="BJ14" s="16"/>
      <c r="BK14" s="16"/>
      <c r="BL14" s="16">
        <v>16092</v>
      </c>
      <c r="BM14" s="16">
        <v>7884</v>
      </c>
      <c r="BN14" s="16">
        <v>1728</v>
      </c>
      <c r="BO14" s="16">
        <v>4644</v>
      </c>
      <c r="BP14" s="16">
        <v>4104</v>
      </c>
      <c r="BQ14" s="16"/>
      <c r="BR14" s="16"/>
      <c r="BS14" s="16"/>
      <c r="BT14" s="16">
        <f>1296+648+1296</f>
        <v>3240</v>
      </c>
      <c r="BU14" s="16">
        <f>432+216</f>
        <v>648</v>
      </c>
      <c r="BV14" s="23">
        <v>2376</v>
      </c>
      <c r="BW14" s="23">
        <f>2160+432+432+1080+864+1080</f>
        <v>6048</v>
      </c>
      <c r="BX14" s="23">
        <v>1836</v>
      </c>
      <c r="BY14" s="23">
        <v>2700</v>
      </c>
      <c r="BZ14" s="23">
        <f>2808+864</f>
        <v>3672</v>
      </c>
      <c r="CA14" s="23">
        <f>2808+864+972</f>
        <v>4644</v>
      </c>
      <c r="CB14" s="23">
        <v>3024</v>
      </c>
      <c r="CC14" s="23">
        <v>2916</v>
      </c>
      <c r="CD14" s="23">
        <v>4104</v>
      </c>
      <c r="CE14" s="23">
        <v>5184</v>
      </c>
      <c r="CF14" s="23">
        <v>3456</v>
      </c>
      <c r="CG14" s="23">
        <f>2808+1728+864</f>
        <v>5400</v>
      </c>
      <c r="CH14" s="23">
        <v>4320</v>
      </c>
      <c r="CI14" s="23">
        <v>6588</v>
      </c>
      <c r="CJ14" s="23">
        <v>1944</v>
      </c>
      <c r="CK14" s="23">
        <v>2592</v>
      </c>
      <c r="CL14" s="23"/>
      <c r="CM14" s="23"/>
      <c r="CN14" s="16">
        <v>1080</v>
      </c>
      <c r="CO14" s="23"/>
      <c r="CP14" s="23"/>
      <c r="CQ14" s="23"/>
      <c r="CR14" s="23">
        <f>1080+1296+1296</f>
        <v>3672</v>
      </c>
      <c r="CS14" s="23">
        <v>3240</v>
      </c>
      <c r="CT14" s="23">
        <f>2592+648</f>
        <v>3240</v>
      </c>
      <c r="CU14" s="23"/>
      <c r="CV14" s="23">
        <v>5400</v>
      </c>
      <c r="CW14" s="23">
        <v>4320</v>
      </c>
      <c r="CX14" s="23">
        <v>3564</v>
      </c>
      <c r="CY14" s="23"/>
      <c r="CZ14" s="23"/>
      <c r="DA14" s="23">
        <v>5940</v>
      </c>
      <c r="DB14" s="23">
        <v>4428</v>
      </c>
      <c r="DC14" s="23">
        <v>5400</v>
      </c>
      <c r="DD14" s="34">
        <f>540+1080</f>
        <v>1620</v>
      </c>
      <c r="DE14" s="34">
        <v>3456</v>
      </c>
      <c r="DF14" s="34">
        <v>4428</v>
      </c>
      <c r="DG14" s="34">
        <v>4968</v>
      </c>
      <c r="DH14" s="34">
        <v>6048</v>
      </c>
      <c r="DI14" s="34">
        <v>5400</v>
      </c>
      <c r="DJ14" s="34">
        <v>2700</v>
      </c>
      <c r="DK14" s="34">
        <v>4644</v>
      </c>
      <c r="DL14" s="34">
        <v>4320</v>
      </c>
      <c r="DM14" s="34">
        <v>1080</v>
      </c>
      <c r="DN14" s="34">
        <v>3240</v>
      </c>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row>
    <row r="15" spans="2:159" ht="277.2" hidden="1" outlineLevel="1" x14ac:dyDescent="0.3">
      <c r="B15" s="16" t="str">
        <f t="shared" ref="B15:C17" si="114">B14</f>
        <v>P091381104.004</v>
      </c>
      <c r="C15" s="16" t="str">
        <f t="shared" si="114"/>
        <v>Air Baffle</v>
      </c>
      <c r="D15" s="16" t="s">
        <v>196</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t="s">
        <v>144</v>
      </c>
      <c r="BA15" s="16"/>
      <c r="BB15" s="16"/>
      <c r="BC15" s="16"/>
      <c r="BD15" s="16" t="s">
        <v>145</v>
      </c>
      <c r="BE15" s="16"/>
      <c r="BF15" s="16"/>
      <c r="BG15" s="16"/>
      <c r="BH15" s="16" t="s">
        <v>146</v>
      </c>
      <c r="BI15" s="16"/>
      <c r="BJ15" s="16"/>
      <c r="BK15" s="16"/>
      <c r="BL15" s="16" t="s">
        <v>147</v>
      </c>
      <c r="BM15" s="16" t="s">
        <v>151</v>
      </c>
      <c r="BN15" s="16" t="s">
        <v>152</v>
      </c>
      <c r="BO15" s="16" t="s">
        <v>154</v>
      </c>
      <c r="BP15" s="16" t="s">
        <v>155</v>
      </c>
      <c r="BQ15" s="16"/>
      <c r="BR15" s="16"/>
      <c r="BS15" s="16"/>
      <c r="BT15" s="16" t="s">
        <v>164</v>
      </c>
      <c r="BU15" s="16" t="s">
        <v>165</v>
      </c>
      <c r="BV15" s="16" t="s">
        <v>171</v>
      </c>
      <c r="BW15" s="16" t="s">
        <v>172</v>
      </c>
      <c r="BX15" s="16" t="s">
        <v>170</v>
      </c>
      <c r="BY15" s="16" t="s">
        <v>175</v>
      </c>
      <c r="BZ15" s="16" t="s">
        <v>178</v>
      </c>
      <c r="CA15" s="16" t="s">
        <v>179</v>
      </c>
      <c r="CB15" s="16" t="s">
        <v>180</v>
      </c>
      <c r="CC15" s="16" t="s">
        <v>182</v>
      </c>
      <c r="CD15" s="16" t="s">
        <v>187</v>
      </c>
      <c r="CE15" s="16"/>
      <c r="CF15" s="16" t="s">
        <v>205</v>
      </c>
      <c r="CG15" s="16" t="s">
        <v>208</v>
      </c>
      <c r="CH15" s="16" t="s">
        <v>212</v>
      </c>
      <c r="CI15" s="16" t="s">
        <v>213</v>
      </c>
      <c r="CJ15" s="16" t="s">
        <v>216</v>
      </c>
      <c r="CK15" s="16" t="s">
        <v>215</v>
      </c>
      <c r="CL15" s="16"/>
      <c r="CM15" s="16"/>
      <c r="CN15" s="16" t="s">
        <v>221</v>
      </c>
      <c r="CO15" s="16"/>
      <c r="CP15" s="16"/>
      <c r="CQ15" s="16"/>
      <c r="CR15" s="16" t="s">
        <v>226</v>
      </c>
      <c r="CS15" s="16" t="s">
        <v>228</v>
      </c>
      <c r="CT15" s="16" t="s">
        <v>229</v>
      </c>
      <c r="CU15" s="16"/>
      <c r="CV15" s="16" t="s">
        <v>233</v>
      </c>
      <c r="CW15" s="16" t="s">
        <v>236</v>
      </c>
      <c r="CX15" s="16" t="s">
        <v>238</v>
      </c>
      <c r="CY15" s="16"/>
      <c r="CZ15" s="16"/>
      <c r="DA15" s="16" t="s">
        <v>242</v>
      </c>
      <c r="DB15" s="16" t="s">
        <v>244</v>
      </c>
      <c r="DC15" s="16" t="s">
        <v>246</v>
      </c>
      <c r="DD15" s="16" t="s">
        <v>247</v>
      </c>
      <c r="DE15" s="16" t="s">
        <v>251</v>
      </c>
      <c r="DF15" s="16" t="s">
        <v>254</v>
      </c>
      <c r="DG15" s="16" t="s">
        <v>255</v>
      </c>
      <c r="DH15" s="16" t="s">
        <v>257</v>
      </c>
      <c r="DI15" s="16" t="s">
        <v>259</v>
      </c>
      <c r="DJ15" s="16" t="s">
        <v>261</v>
      </c>
      <c r="DK15" s="16" t="s">
        <v>263</v>
      </c>
      <c r="DL15" s="16" t="s">
        <v>264</v>
      </c>
      <c r="DM15" s="16" t="s">
        <v>266</v>
      </c>
      <c r="DN15" s="16" t="s">
        <v>268</v>
      </c>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row>
    <row r="16" spans="2:159" collapsed="1" x14ac:dyDescent="0.3">
      <c r="B16" s="16" t="str">
        <f t="shared" si="114"/>
        <v>P091381104.004</v>
      </c>
      <c r="C16" s="16" t="str">
        <f t="shared" si="114"/>
        <v>Air Baffle</v>
      </c>
      <c r="D16" s="16" t="s">
        <v>197</v>
      </c>
      <c r="E16" s="16">
        <f>0-E12+E14</f>
        <v>0</v>
      </c>
      <c r="F16" s="16">
        <f t="shared" ref="F16:AK16" si="115">E16-F12+F14</f>
        <v>0</v>
      </c>
      <c r="G16" s="16">
        <f t="shared" si="115"/>
        <v>0</v>
      </c>
      <c r="H16" s="16">
        <f t="shared" si="115"/>
        <v>0</v>
      </c>
      <c r="I16" s="16">
        <f t="shared" si="115"/>
        <v>0</v>
      </c>
      <c r="J16" s="16">
        <f t="shared" si="115"/>
        <v>0</v>
      </c>
      <c r="K16" s="16">
        <f t="shared" si="115"/>
        <v>0</v>
      </c>
      <c r="L16" s="16">
        <f t="shared" si="115"/>
        <v>0</v>
      </c>
      <c r="M16" s="16">
        <f t="shared" si="115"/>
        <v>0</v>
      </c>
      <c r="N16" s="16">
        <f t="shared" si="115"/>
        <v>0</v>
      </c>
      <c r="O16" s="16">
        <f t="shared" si="115"/>
        <v>0</v>
      </c>
      <c r="P16" s="16">
        <f t="shared" si="115"/>
        <v>0</v>
      </c>
      <c r="Q16" s="16">
        <f t="shared" si="115"/>
        <v>0</v>
      </c>
      <c r="R16" s="16">
        <f t="shared" si="115"/>
        <v>0</v>
      </c>
      <c r="S16" s="16">
        <f t="shared" si="115"/>
        <v>0</v>
      </c>
      <c r="T16" s="16">
        <f t="shared" si="115"/>
        <v>0</v>
      </c>
      <c r="U16" s="16">
        <f t="shared" si="115"/>
        <v>0</v>
      </c>
      <c r="V16" s="16">
        <f t="shared" si="115"/>
        <v>0</v>
      </c>
      <c r="W16" s="16">
        <f t="shared" si="115"/>
        <v>0</v>
      </c>
      <c r="X16" s="16">
        <f t="shared" si="115"/>
        <v>0</v>
      </c>
      <c r="Y16" s="16">
        <f t="shared" si="115"/>
        <v>0</v>
      </c>
      <c r="Z16" s="16">
        <f t="shared" si="115"/>
        <v>0</v>
      </c>
      <c r="AA16" s="16">
        <f t="shared" si="115"/>
        <v>0</v>
      </c>
      <c r="AB16" s="16">
        <f t="shared" si="115"/>
        <v>0</v>
      </c>
      <c r="AC16" s="16">
        <f t="shared" si="115"/>
        <v>0</v>
      </c>
      <c r="AD16" s="16">
        <f t="shared" si="115"/>
        <v>0</v>
      </c>
      <c r="AE16" s="16">
        <f t="shared" si="115"/>
        <v>0</v>
      </c>
      <c r="AF16" s="16">
        <f t="shared" si="115"/>
        <v>0</v>
      </c>
      <c r="AG16" s="16">
        <f t="shared" si="115"/>
        <v>0</v>
      </c>
      <c r="AH16" s="16">
        <f t="shared" si="115"/>
        <v>0</v>
      </c>
      <c r="AI16" s="16">
        <f t="shared" si="115"/>
        <v>0</v>
      </c>
      <c r="AJ16" s="16">
        <f t="shared" si="115"/>
        <v>0</v>
      </c>
      <c r="AK16" s="16">
        <f t="shared" si="115"/>
        <v>0</v>
      </c>
      <c r="AL16" s="16">
        <f t="shared" ref="AL16:BO16" si="116">AK16-AL12+AL14</f>
        <v>0</v>
      </c>
      <c r="AM16" s="16">
        <f t="shared" si="116"/>
        <v>0</v>
      </c>
      <c r="AN16" s="16">
        <f t="shared" si="116"/>
        <v>0</v>
      </c>
      <c r="AO16" s="16">
        <f t="shared" si="116"/>
        <v>0</v>
      </c>
      <c r="AP16" s="16">
        <f t="shared" si="116"/>
        <v>0</v>
      </c>
      <c r="AQ16" s="16">
        <f t="shared" si="116"/>
        <v>0</v>
      </c>
      <c r="AR16" s="16">
        <f t="shared" si="116"/>
        <v>0</v>
      </c>
      <c r="AS16" s="16">
        <f t="shared" si="116"/>
        <v>0</v>
      </c>
      <c r="AT16" s="16">
        <f t="shared" si="116"/>
        <v>0</v>
      </c>
      <c r="AU16" s="16">
        <f t="shared" si="116"/>
        <v>0</v>
      </c>
      <c r="AV16" s="16">
        <f t="shared" si="116"/>
        <v>-5040</v>
      </c>
      <c r="AW16" s="16">
        <f t="shared" si="116"/>
        <v>-10080</v>
      </c>
      <c r="AX16" s="16">
        <f t="shared" si="116"/>
        <v>-15120</v>
      </c>
      <c r="AY16" s="16">
        <f t="shared" si="116"/>
        <v>-19440</v>
      </c>
      <c r="AZ16" s="16">
        <f t="shared" si="116"/>
        <v>-10766</v>
      </c>
      <c r="BA16" s="16">
        <f t="shared" si="116"/>
        <v>-14766</v>
      </c>
      <c r="BB16" s="16">
        <f t="shared" si="116"/>
        <v>-18766</v>
      </c>
      <c r="BC16" s="16">
        <f t="shared" si="116"/>
        <v>-22766</v>
      </c>
      <c r="BD16" s="16">
        <f t="shared" si="116"/>
        <v>-15642</v>
      </c>
      <c r="BE16" s="16">
        <f t="shared" si="116"/>
        <v>-19642</v>
      </c>
      <c r="BF16" s="16">
        <f t="shared" si="116"/>
        <v>-23642</v>
      </c>
      <c r="BG16" s="16">
        <f t="shared" si="116"/>
        <v>-27642</v>
      </c>
      <c r="BH16" s="16">
        <f t="shared" si="116"/>
        <v>-15982</v>
      </c>
      <c r="BI16" s="16">
        <f t="shared" si="116"/>
        <v>-19982</v>
      </c>
      <c r="BJ16" s="16">
        <f t="shared" si="116"/>
        <v>-19104</v>
      </c>
      <c r="BK16" s="16">
        <f t="shared" si="116"/>
        <v>-23104</v>
      </c>
      <c r="BL16" s="16">
        <f t="shared" si="116"/>
        <v>-11012</v>
      </c>
      <c r="BM16" s="16">
        <f t="shared" si="116"/>
        <v>-7128</v>
      </c>
      <c r="BN16" s="16">
        <f t="shared" si="116"/>
        <v>-8280</v>
      </c>
      <c r="BO16" s="16">
        <f t="shared" si="116"/>
        <v>-6516</v>
      </c>
      <c r="BP16" s="16">
        <f>BO16-BP12+BP14+2412</f>
        <v>0</v>
      </c>
      <c r="BQ16" s="16">
        <f t="shared" ref="BQ16:CL16" si="117">BP16-BQ12+BQ14</f>
        <v>-4000</v>
      </c>
      <c r="BR16" s="16">
        <f t="shared" si="117"/>
        <v>-8320</v>
      </c>
      <c r="BS16" s="16">
        <f t="shared" si="117"/>
        <v>-8320</v>
      </c>
      <c r="BT16" s="16">
        <f t="shared" si="117"/>
        <v>-9400</v>
      </c>
      <c r="BU16" s="16">
        <f t="shared" si="117"/>
        <v>-12752</v>
      </c>
      <c r="BV16" s="16">
        <f t="shared" si="117"/>
        <v>-14376</v>
      </c>
      <c r="BW16" s="16">
        <f t="shared" si="117"/>
        <v>-12328</v>
      </c>
      <c r="BX16" s="16">
        <f t="shared" si="117"/>
        <v>-14492</v>
      </c>
      <c r="BY16" s="16">
        <f t="shared" si="117"/>
        <v>-15792</v>
      </c>
      <c r="BZ16" s="16">
        <f t="shared" si="117"/>
        <v>-16120</v>
      </c>
      <c r="CA16" s="16">
        <f t="shared" si="117"/>
        <v>-15476</v>
      </c>
      <c r="CB16" s="16">
        <f t="shared" si="117"/>
        <v>-16452</v>
      </c>
      <c r="CC16" s="16">
        <f t="shared" si="117"/>
        <v>-17536</v>
      </c>
      <c r="CD16" s="16">
        <f t="shared" si="117"/>
        <v>-17432</v>
      </c>
      <c r="CE16" s="16">
        <f t="shared" si="117"/>
        <v>-16248</v>
      </c>
      <c r="CF16" s="16">
        <f t="shared" si="117"/>
        <v>-16792</v>
      </c>
      <c r="CG16" s="16">
        <f t="shared" si="117"/>
        <v>-15392</v>
      </c>
      <c r="CH16" s="16">
        <f t="shared" si="117"/>
        <v>-15072</v>
      </c>
      <c r="CI16" s="16">
        <f t="shared" si="117"/>
        <v>-12484</v>
      </c>
      <c r="CJ16" s="16">
        <f t="shared" si="117"/>
        <v>-14540</v>
      </c>
      <c r="CK16" s="16">
        <f t="shared" si="117"/>
        <v>-11948</v>
      </c>
      <c r="CL16" s="16">
        <f t="shared" si="117"/>
        <v>-11948</v>
      </c>
      <c r="CM16" s="16">
        <v>0</v>
      </c>
      <c r="CN16" s="16">
        <f t="shared" ref="CN16:CT16" si="118">CM16-CN12+CN14</f>
        <v>0</v>
      </c>
      <c r="CO16" s="16">
        <f t="shared" si="118"/>
        <v>0</v>
      </c>
      <c r="CP16" s="16">
        <f t="shared" si="118"/>
        <v>0</v>
      </c>
      <c r="CQ16" s="16">
        <f t="shared" si="118"/>
        <v>0</v>
      </c>
      <c r="CR16" s="16">
        <f t="shared" si="118"/>
        <v>-288</v>
      </c>
      <c r="CS16" s="16">
        <f t="shared" si="118"/>
        <v>72</v>
      </c>
      <c r="CT16" s="16">
        <f t="shared" si="118"/>
        <v>72</v>
      </c>
      <c r="CU16" s="16"/>
      <c r="CV16" s="16">
        <f t="shared" ref="CV16:DD16" si="119">CU16-CV12+CV14</f>
        <v>0</v>
      </c>
      <c r="CW16" s="16">
        <f t="shared" si="119"/>
        <v>0</v>
      </c>
      <c r="CX16" s="16">
        <f t="shared" si="119"/>
        <v>0</v>
      </c>
      <c r="CY16" s="16">
        <f t="shared" si="119"/>
        <v>0</v>
      </c>
      <c r="CZ16" s="16">
        <f t="shared" si="119"/>
        <v>0</v>
      </c>
      <c r="DA16" s="16">
        <f t="shared" si="119"/>
        <v>0</v>
      </c>
      <c r="DB16" s="16">
        <f t="shared" si="119"/>
        <v>0</v>
      </c>
      <c r="DC16" s="16">
        <f t="shared" si="119"/>
        <v>0</v>
      </c>
      <c r="DD16" s="33">
        <f t="shared" si="119"/>
        <v>-2160</v>
      </c>
      <c r="DE16" s="33">
        <f>0-DE12+DE14</f>
        <v>-1944</v>
      </c>
      <c r="DF16" s="33">
        <f t="shared" ref="DF16:DJ16" si="120">0-DF12+DF14</f>
        <v>-972</v>
      </c>
      <c r="DG16" s="33">
        <f t="shared" si="120"/>
        <v>-432</v>
      </c>
      <c r="DH16" s="33">
        <f t="shared" si="120"/>
        <v>6048</v>
      </c>
      <c r="DI16" s="33">
        <f>DH17-DI12+DI14</f>
        <v>0</v>
      </c>
      <c r="DJ16" s="33">
        <f t="shared" si="120"/>
        <v>0</v>
      </c>
      <c r="DK16" s="33">
        <f t="shared" ref="DK16:EP16" si="121">0-DK12+DK14</f>
        <v>0</v>
      </c>
      <c r="DL16" s="33">
        <f t="shared" si="121"/>
        <v>0</v>
      </c>
      <c r="DM16" s="33">
        <f t="shared" si="121"/>
        <v>0</v>
      </c>
      <c r="DN16" s="33">
        <f t="shared" si="121"/>
        <v>-1512</v>
      </c>
      <c r="DO16" s="33">
        <f t="shared" si="121"/>
        <v>-3780</v>
      </c>
      <c r="DP16" s="33">
        <f t="shared" si="121"/>
        <v>-5400</v>
      </c>
      <c r="DQ16" s="33">
        <f t="shared" si="121"/>
        <v>-2700</v>
      </c>
      <c r="DR16" s="33">
        <f t="shared" si="121"/>
        <v>-4860</v>
      </c>
      <c r="DS16" s="33">
        <f t="shared" si="121"/>
        <v>-4860</v>
      </c>
      <c r="DT16" s="33">
        <f t="shared" si="121"/>
        <v>-4320</v>
      </c>
      <c r="DU16" s="33">
        <f t="shared" si="121"/>
        <v>-4860</v>
      </c>
      <c r="DV16" s="33">
        <f t="shared" si="121"/>
        <v>-5076</v>
      </c>
      <c r="DW16" s="33">
        <f t="shared" si="121"/>
        <v>-4320</v>
      </c>
      <c r="DX16" s="33">
        <f t="shared" si="121"/>
        <v>-3240</v>
      </c>
      <c r="DY16" s="33">
        <f t="shared" si="121"/>
        <v>-4320</v>
      </c>
      <c r="DZ16" s="33">
        <f t="shared" si="121"/>
        <v>-4320</v>
      </c>
      <c r="EA16" s="33">
        <f t="shared" si="121"/>
        <v>-4320</v>
      </c>
      <c r="EB16" s="33">
        <f t="shared" si="121"/>
        <v>-3780</v>
      </c>
      <c r="EC16" s="33">
        <f t="shared" si="121"/>
        <v>-4320</v>
      </c>
      <c r="ED16" s="33">
        <f t="shared" si="121"/>
        <v>-4860</v>
      </c>
      <c r="EE16" s="33">
        <f t="shared" si="121"/>
        <v>-4860</v>
      </c>
      <c r="EF16" s="33">
        <f t="shared" si="121"/>
        <v>-3240</v>
      </c>
      <c r="EG16" s="33">
        <f t="shared" si="121"/>
        <v>-3780</v>
      </c>
      <c r="EH16" s="33">
        <f t="shared" si="121"/>
        <v>-3780</v>
      </c>
      <c r="EI16" s="33">
        <f t="shared" si="121"/>
        <v>-4320</v>
      </c>
      <c r="EJ16" s="33">
        <f t="shared" si="121"/>
        <v>-5400</v>
      </c>
      <c r="EK16" s="33">
        <f t="shared" si="121"/>
        <v>-5400</v>
      </c>
      <c r="EL16" s="33">
        <f t="shared" si="121"/>
        <v>0</v>
      </c>
      <c r="EM16" s="33">
        <f t="shared" si="121"/>
        <v>0</v>
      </c>
      <c r="EN16" s="33">
        <f t="shared" si="121"/>
        <v>-5940</v>
      </c>
      <c r="EO16" s="33">
        <f t="shared" si="121"/>
        <v>-5940</v>
      </c>
      <c r="EP16" s="33">
        <f t="shared" si="121"/>
        <v>-5940</v>
      </c>
      <c r="EQ16" s="33">
        <f t="shared" ref="EQ16:FA16" si="122">0-EQ12+EQ14</f>
        <v>-5400</v>
      </c>
      <c r="ER16" s="33">
        <f t="shared" si="122"/>
        <v>-5940</v>
      </c>
      <c r="ES16" s="33">
        <f t="shared" si="122"/>
        <v>-5400</v>
      </c>
      <c r="ET16" s="33">
        <f t="shared" si="122"/>
        <v>-5400</v>
      </c>
      <c r="EU16" s="33">
        <f t="shared" si="122"/>
        <v>-5400</v>
      </c>
      <c r="EV16" s="33">
        <f t="shared" si="122"/>
        <v>-5400</v>
      </c>
      <c r="EW16" s="33">
        <f t="shared" si="122"/>
        <v>-5400</v>
      </c>
      <c r="EX16" s="33">
        <f t="shared" si="122"/>
        <v>-5400</v>
      </c>
      <c r="EY16" s="33">
        <f t="shared" si="122"/>
        <v>-5400</v>
      </c>
      <c r="EZ16" s="33">
        <f t="shared" si="122"/>
        <v>-5400</v>
      </c>
      <c r="FA16" s="33">
        <f t="shared" si="122"/>
        <v>-5400</v>
      </c>
    </row>
    <row r="17" spans="1:260" collapsed="1" x14ac:dyDescent="0.3">
      <c r="B17" s="16" t="str">
        <f t="shared" si="114"/>
        <v>P091381104.004</v>
      </c>
      <c r="C17" s="16" t="str">
        <f t="shared" si="114"/>
        <v>Air Baffle</v>
      </c>
      <c r="D17" s="30" t="s">
        <v>253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v>0</v>
      </c>
      <c r="DC17" s="16">
        <v>0</v>
      </c>
      <c r="DD17" s="33">
        <v>0</v>
      </c>
      <c r="DE17" s="33">
        <f>DD16-DE12+DE14</f>
        <v>-4104</v>
      </c>
      <c r="DF17" s="33">
        <f>DE17-DF12+DF14</f>
        <v>-5076</v>
      </c>
      <c r="DG17" s="33">
        <f>DF17-DG12+DG14</f>
        <v>-5508</v>
      </c>
      <c r="DH17" s="33">
        <f>DG17-DH12+DH14</f>
        <v>540</v>
      </c>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row>
    <row r="18" spans="1:260" x14ac:dyDescent="0.3">
      <c r="B18" s="4"/>
      <c r="C18" s="4"/>
      <c r="D18" s="4"/>
      <c r="E18" s="4"/>
      <c r="F18" s="4"/>
      <c r="G18" s="4"/>
      <c r="H18" s="4"/>
      <c r="I18" s="4"/>
      <c r="J18" s="4"/>
      <c r="K18" s="4"/>
      <c r="L18" s="4"/>
      <c r="M18" s="4"/>
    </row>
    <row r="19" spans="1:260" s="18" customFormat="1" ht="13.2" customHeight="1" x14ac:dyDescent="0.25">
      <c r="B19" s="19" t="s">
        <v>10</v>
      </c>
      <c r="C19" s="40" t="s">
        <v>198</v>
      </c>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c r="IW19" s="40"/>
      <c r="IX19" s="40"/>
      <c r="IY19" s="40"/>
      <c r="IZ19" s="40"/>
    </row>
    <row r="20" spans="1:260" s="18" customFormat="1" ht="13.2" x14ac:dyDescent="0.25">
      <c r="B20" s="2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c r="IW20" s="40"/>
      <c r="IX20" s="40"/>
      <c r="IY20" s="40"/>
      <c r="IZ20" s="40"/>
    </row>
    <row r="21" spans="1:260" s="41" customFormat="1" ht="13.2" customHeight="1" x14ac:dyDescent="0.25">
      <c r="A21" s="18"/>
      <c r="B21" s="41" t="s">
        <v>199</v>
      </c>
    </row>
    <row r="22" spans="1:260" s="41" customFormat="1" ht="13.2" x14ac:dyDescent="0.25">
      <c r="A22" s="18"/>
    </row>
    <row r="23" spans="1:260" s="39" customFormat="1" ht="13.2" customHeight="1" x14ac:dyDescent="0.25">
      <c r="A23" s="18"/>
      <c r="B23" s="39" t="s">
        <v>200</v>
      </c>
    </row>
    <row r="24" spans="1:260" s="39" customFormat="1" ht="13.2" x14ac:dyDescent="0.25">
      <c r="A24" s="18"/>
    </row>
    <row r="25" spans="1:260" ht="14.4" customHeight="1" x14ac:dyDescent="0.3">
      <c r="CA25" s="39"/>
      <c r="CB25" s="39"/>
      <c r="CE25" s="39"/>
      <c r="CF25" s="39"/>
      <c r="CR25" s="39"/>
      <c r="CS25" s="39"/>
      <c r="CX25" s="39"/>
      <c r="CY25" s="39"/>
      <c r="DB25" s="29"/>
      <c r="DE25" s="29"/>
      <c r="DF25" s="29"/>
      <c r="DG25" s="29"/>
      <c r="DH25" s="42"/>
      <c r="DI25" s="42"/>
      <c r="DJ25" s="29"/>
      <c r="DK25" s="29"/>
      <c r="DL25" s="29"/>
      <c r="DN25" s="39"/>
      <c r="DO25" s="39"/>
      <c r="DR25" s="39"/>
      <c r="DS25" s="39"/>
      <c r="DW25" s="39"/>
      <c r="DX25" s="39"/>
      <c r="DY25" s="39"/>
      <c r="DZ25" s="39"/>
      <c r="EA25" s="39"/>
      <c r="EB25" s="39"/>
      <c r="EC25" s="39"/>
      <c r="ED25" s="39"/>
      <c r="EE25" s="39"/>
      <c r="EF25" s="39"/>
      <c r="EG25" s="39"/>
      <c r="EH25" s="39"/>
      <c r="EI25" s="39"/>
      <c r="EJ25" s="39"/>
      <c r="EK25" s="36" t="s">
        <v>201</v>
      </c>
    </row>
    <row r="26" spans="1:260" x14ac:dyDescent="0.3">
      <c r="CA26" s="22"/>
      <c r="CB26" s="21"/>
      <c r="CE26" s="22"/>
      <c r="CF26" s="21"/>
      <c r="CR26" s="22"/>
      <c r="CS26" s="21"/>
      <c r="CX26" s="22"/>
      <c r="CY26" s="21"/>
      <c r="DD26" s="29"/>
      <c r="DE26" s="29"/>
      <c r="DF26" s="29"/>
      <c r="DG26" s="29"/>
      <c r="DH26" s="31"/>
      <c r="DI26" s="38"/>
      <c r="DN26" s="22"/>
      <c r="DO26" s="38"/>
      <c r="DP26" s="43"/>
      <c r="DQ26" s="29"/>
      <c r="DR26" s="31"/>
      <c r="DS26" s="21"/>
      <c r="DW26" s="22"/>
      <c r="DX26" s="21"/>
      <c r="DY26" s="22"/>
      <c r="DZ26" s="21"/>
      <c r="EA26" s="22"/>
      <c r="EB26" s="21"/>
      <c r="EC26" s="22"/>
      <c r="ED26" s="21"/>
      <c r="EE26" s="22"/>
      <c r="EF26" s="21"/>
      <c r="EG26" s="22"/>
      <c r="EH26" s="21"/>
      <c r="EI26" s="22"/>
      <c r="EJ26" s="21"/>
      <c r="EK26" s="22" t="s">
        <v>202</v>
      </c>
    </row>
    <row r="27" spans="1:260" x14ac:dyDescent="0.3">
      <c r="DF27" s="29"/>
    </row>
    <row r="29" spans="1:260" x14ac:dyDescent="0.3">
      <c r="DF29" s="29"/>
    </row>
    <row r="32" spans="1:260" x14ac:dyDescent="0.3">
      <c r="DE32" s="29"/>
    </row>
  </sheetData>
  <autoFilter ref="B6:D16" xr:uid="{852F4944-4715-4B4F-B562-D1ED22B4DFD0}"/>
  <mergeCells count="18">
    <mergeCell ref="EG25:EH25"/>
    <mergeCell ref="EI25:EJ25"/>
    <mergeCell ref="CA25:CB25"/>
    <mergeCell ref="C19:EA20"/>
    <mergeCell ref="CE25:CF25"/>
    <mergeCell ref="CR25:CS25"/>
    <mergeCell ref="CX25:CY25"/>
    <mergeCell ref="B21:XFD22"/>
    <mergeCell ref="B23:XFD24"/>
    <mergeCell ref="DH25:DI25"/>
    <mergeCell ref="DN25:DO25"/>
    <mergeCell ref="EB19:IZ20"/>
    <mergeCell ref="DR25:DS25"/>
    <mergeCell ref="DW25:DX25"/>
    <mergeCell ref="DY25:DZ25"/>
    <mergeCell ref="EA25:EB25"/>
    <mergeCell ref="EC25:ED25"/>
    <mergeCell ref="EE25:EF25"/>
  </mergeCells>
  <conditionalFormatting sqref="D10:D11">
    <cfRule type="cellIs" dxfId="7" priority="7" operator="lessThan">
      <formula>0</formula>
    </cfRule>
  </conditionalFormatting>
  <conditionalFormatting sqref="D16:D17">
    <cfRule type="cellIs" dxfId="6" priority="23" operator="lessThan">
      <formula>0</formula>
    </cfRule>
  </conditionalFormatting>
  <conditionalFormatting sqref="BV11:FA11">
    <cfRule type="cellIs" dxfId="5" priority="3" operator="greaterThan">
      <formula>0</formula>
    </cfRule>
    <cfRule type="cellIs" dxfId="4" priority="4" operator="lessThan">
      <formula>0</formula>
    </cfRule>
  </conditionalFormatting>
  <conditionalFormatting sqref="BV16:FA17">
    <cfRule type="cellIs" dxfId="3" priority="1" operator="greaterThan">
      <formula>0</formula>
    </cfRule>
    <cfRule type="cellIs" dxfId="2" priority="2" operator="lessThan">
      <formula>0</formula>
    </cfRule>
  </conditionalFormatting>
  <conditionalFormatting sqref="DE10:FA10">
    <cfRule type="cellIs" dxfId="1" priority="5" operator="greaterThan">
      <formula>0</formula>
    </cfRule>
    <cfRule type="cellIs" dxfId="0" priority="6" operator="lessThan">
      <formula>0</formula>
    </cfRule>
  </conditionalFormatting>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21C4F-63F5-4961-A48B-68E545995C14}">
  <dimension ref="A1"/>
  <sheetViews>
    <sheetView workbookViewId="0">
      <selection activeCell="E32" sqref="E32"/>
    </sheetView>
  </sheetViews>
  <sheetFormatPr baseColWidth="10" defaultColWidth="8.88671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6CCB-B86E-4AF0-AEB2-EC6E661A7A6E}">
  <dimension ref="B1:U27"/>
  <sheetViews>
    <sheetView showGridLines="0" zoomScale="70" zoomScaleNormal="70" workbookViewId="0">
      <selection activeCell="R36" sqref="R36"/>
    </sheetView>
  </sheetViews>
  <sheetFormatPr baseColWidth="10" defaultColWidth="8.77734375" defaultRowHeight="14.4" x14ac:dyDescent="0.3"/>
  <cols>
    <col min="1" max="1" width="6" customWidth="1"/>
    <col min="2" max="2" width="14.77734375" bestFit="1" customWidth="1"/>
    <col min="3" max="3" width="10.44140625" bestFit="1" customWidth="1"/>
    <col min="4" max="4" width="26.44140625" bestFit="1" customWidth="1"/>
    <col min="5" max="5" width="14.44140625" bestFit="1" customWidth="1"/>
    <col min="6" max="6" width="21" bestFit="1" customWidth="1"/>
    <col min="7" max="7" width="7.21875" bestFit="1" customWidth="1"/>
    <col min="8" max="8" width="12.5546875" bestFit="1" customWidth="1"/>
    <col min="14" max="14" width="11.77734375" bestFit="1" customWidth="1"/>
    <col min="15" max="15" width="18.5546875" bestFit="1" customWidth="1"/>
    <col min="16" max="16" width="11.77734375" customWidth="1"/>
    <col min="18" max="18" width="21.21875" bestFit="1" customWidth="1"/>
  </cols>
  <sheetData>
    <row r="1" spans="2:21" x14ac:dyDescent="0.3">
      <c r="B1" s="2" t="s">
        <v>11</v>
      </c>
    </row>
    <row r="2" spans="2:21" x14ac:dyDescent="0.3">
      <c r="B2" s="2"/>
    </row>
    <row r="3" spans="2:21" x14ac:dyDescent="0.3">
      <c r="B3" s="5" t="s">
        <v>12</v>
      </c>
      <c r="C3" s="5" t="s">
        <v>13</v>
      </c>
      <c r="D3" s="5" t="s">
        <v>14</v>
      </c>
      <c r="E3" s="5" t="s">
        <v>15</v>
      </c>
      <c r="F3" s="5" t="s">
        <v>16</v>
      </c>
      <c r="G3" s="5" t="s">
        <v>17</v>
      </c>
      <c r="H3" s="5" t="s">
        <v>18</v>
      </c>
      <c r="I3" s="5" t="s">
        <v>19</v>
      </c>
      <c r="J3" s="5" t="s">
        <v>20</v>
      </c>
      <c r="K3" s="5" t="s">
        <v>21</v>
      </c>
      <c r="L3" s="5" t="s">
        <v>22</v>
      </c>
      <c r="M3" s="5" t="s">
        <v>23</v>
      </c>
      <c r="N3" s="5" t="s">
        <v>24</v>
      </c>
      <c r="O3" s="5" t="s">
        <v>25</v>
      </c>
      <c r="P3" s="5" t="s">
        <v>26</v>
      </c>
      <c r="Q3" s="5" t="s">
        <v>27</v>
      </c>
      <c r="R3" s="5" t="s">
        <v>28</v>
      </c>
      <c r="S3" s="5" t="s">
        <v>29</v>
      </c>
      <c r="T3" s="5" t="s">
        <v>30</v>
      </c>
      <c r="U3" s="5" t="s">
        <v>31</v>
      </c>
    </row>
    <row r="4" spans="2:21" x14ac:dyDescent="0.3">
      <c r="B4" t="s">
        <v>2</v>
      </c>
      <c r="C4" t="s">
        <v>32</v>
      </c>
      <c r="D4" t="s">
        <v>33</v>
      </c>
      <c r="E4" t="s">
        <v>0</v>
      </c>
      <c r="F4" t="s">
        <v>1</v>
      </c>
      <c r="G4" t="s">
        <v>34</v>
      </c>
      <c r="H4" t="s">
        <v>35</v>
      </c>
      <c r="I4" t="s">
        <v>36</v>
      </c>
      <c r="J4" t="s">
        <v>37</v>
      </c>
      <c r="K4" s="6">
        <v>1935</v>
      </c>
      <c r="L4" s="7">
        <v>1.1599999999999999</v>
      </c>
      <c r="M4" s="8">
        <v>2244.6</v>
      </c>
      <c r="N4" s="7" t="s">
        <v>38</v>
      </c>
      <c r="O4" t="s">
        <v>39</v>
      </c>
      <c r="P4" s="6">
        <v>387</v>
      </c>
      <c r="Q4" s="7">
        <v>448.92</v>
      </c>
      <c r="R4" t="s">
        <v>40</v>
      </c>
      <c r="S4" s="6">
        <v>387</v>
      </c>
      <c r="T4" s="7">
        <v>448.92</v>
      </c>
      <c r="U4" s="6">
        <v>387</v>
      </c>
    </row>
    <row r="5" spans="2:21" x14ac:dyDescent="0.3">
      <c r="B5" t="s">
        <v>2</v>
      </c>
      <c r="C5" t="s">
        <v>32</v>
      </c>
      <c r="D5" t="s">
        <v>33</v>
      </c>
      <c r="E5" t="s">
        <v>0</v>
      </c>
      <c r="F5" t="s">
        <v>1</v>
      </c>
      <c r="G5" t="s">
        <v>41</v>
      </c>
      <c r="H5" t="s">
        <v>35</v>
      </c>
      <c r="I5" t="s">
        <v>36</v>
      </c>
      <c r="J5" t="s">
        <v>37</v>
      </c>
      <c r="L5" s="7">
        <v>1.1599999999999999</v>
      </c>
      <c r="N5" s="7" t="s">
        <v>42</v>
      </c>
      <c r="O5" t="s">
        <v>43</v>
      </c>
      <c r="P5" s="6">
        <v>81</v>
      </c>
      <c r="Q5" s="7">
        <v>93.96</v>
      </c>
      <c r="R5" t="s">
        <v>44</v>
      </c>
      <c r="S5" s="6">
        <v>81</v>
      </c>
      <c r="T5" s="7">
        <v>93.96</v>
      </c>
      <c r="U5" s="6">
        <v>81</v>
      </c>
    </row>
    <row r="6" spans="2:21" x14ac:dyDescent="0.3">
      <c r="B6" t="s">
        <v>2</v>
      </c>
      <c r="C6" t="s">
        <v>32</v>
      </c>
      <c r="D6" t="s">
        <v>33</v>
      </c>
      <c r="E6" t="s">
        <v>0</v>
      </c>
      <c r="F6" t="s">
        <v>1</v>
      </c>
      <c r="G6" t="s">
        <v>45</v>
      </c>
      <c r="H6" t="s">
        <v>35</v>
      </c>
      <c r="I6" t="s">
        <v>36</v>
      </c>
      <c r="J6" t="s">
        <v>37</v>
      </c>
      <c r="L6" s="7">
        <v>1.1599999999999999</v>
      </c>
      <c r="N6" s="7" t="s">
        <v>46</v>
      </c>
      <c r="O6" t="s">
        <v>47</v>
      </c>
      <c r="P6" s="6">
        <v>435</v>
      </c>
      <c r="Q6" s="8">
        <v>504.6</v>
      </c>
      <c r="R6" t="s">
        <v>48</v>
      </c>
      <c r="S6" s="6">
        <v>435</v>
      </c>
      <c r="T6" s="8">
        <v>504.6</v>
      </c>
      <c r="U6" s="6">
        <v>435</v>
      </c>
    </row>
    <row r="7" spans="2:21" x14ac:dyDescent="0.3">
      <c r="B7" t="s">
        <v>2</v>
      </c>
      <c r="C7" t="s">
        <v>32</v>
      </c>
      <c r="D7" t="s">
        <v>33</v>
      </c>
      <c r="E7" t="s">
        <v>0</v>
      </c>
      <c r="F7" t="s">
        <v>1</v>
      </c>
      <c r="G7" t="s">
        <v>49</v>
      </c>
      <c r="H7" t="s">
        <v>35</v>
      </c>
      <c r="I7" t="s">
        <v>36</v>
      </c>
      <c r="J7" t="s">
        <v>37</v>
      </c>
      <c r="L7" s="7">
        <v>1.1599999999999999</v>
      </c>
      <c r="N7" s="7" t="s">
        <v>50</v>
      </c>
      <c r="O7" t="s">
        <v>51</v>
      </c>
      <c r="P7" s="6">
        <v>516</v>
      </c>
      <c r="Q7" s="7">
        <v>598.55999999999995</v>
      </c>
      <c r="R7" t="s">
        <v>52</v>
      </c>
      <c r="S7" s="6">
        <v>516</v>
      </c>
      <c r="T7" s="7">
        <v>598.55999999999995</v>
      </c>
      <c r="U7" s="6">
        <v>516</v>
      </c>
    </row>
    <row r="8" spans="2:21" x14ac:dyDescent="0.3">
      <c r="B8" t="s">
        <v>2</v>
      </c>
      <c r="C8" t="s">
        <v>32</v>
      </c>
      <c r="D8" t="s">
        <v>33</v>
      </c>
      <c r="E8" t="s">
        <v>0</v>
      </c>
      <c r="F8" t="s">
        <v>1</v>
      </c>
      <c r="G8" t="s">
        <v>53</v>
      </c>
      <c r="H8" t="s">
        <v>35</v>
      </c>
      <c r="I8" t="s">
        <v>36</v>
      </c>
      <c r="J8" t="s">
        <v>37</v>
      </c>
      <c r="L8" s="7">
        <v>1.1599999999999999</v>
      </c>
      <c r="N8" s="7" t="s">
        <v>50</v>
      </c>
      <c r="O8" t="s">
        <v>54</v>
      </c>
      <c r="P8" s="6">
        <v>516</v>
      </c>
      <c r="Q8" s="7">
        <v>598.55999999999995</v>
      </c>
      <c r="R8" t="s">
        <v>55</v>
      </c>
      <c r="S8" s="6">
        <v>516</v>
      </c>
      <c r="T8" s="7">
        <v>598.55999999999995</v>
      </c>
      <c r="U8" s="6">
        <v>516</v>
      </c>
    </row>
    <row r="9" spans="2:21" x14ac:dyDescent="0.3">
      <c r="B9" t="s">
        <v>3</v>
      </c>
      <c r="C9" t="s">
        <v>56</v>
      </c>
      <c r="D9" t="s">
        <v>33</v>
      </c>
      <c r="E9" t="s">
        <v>0</v>
      </c>
      <c r="F9" t="s">
        <v>1</v>
      </c>
      <c r="G9" t="s">
        <v>57</v>
      </c>
      <c r="H9" t="s">
        <v>58</v>
      </c>
      <c r="I9" t="s">
        <v>36</v>
      </c>
      <c r="J9" t="s">
        <v>37</v>
      </c>
      <c r="K9" s="6">
        <v>2064</v>
      </c>
      <c r="L9" s="7">
        <v>1.1599999999999999</v>
      </c>
      <c r="M9" s="7">
        <v>2394.2399999999998</v>
      </c>
      <c r="N9" s="7" t="s">
        <v>59</v>
      </c>
      <c r="O9" t="s">
        <v>60</v>
      </c>
      <c r="P9" s="6">
        <v>1500</v>
      </c>
      <c r="Q9" s="6">
        <v>1740</v>
      </c>
      <c r="R9" t="s">
        <v>61</v>
      </c>
      <c r="S9" s="6">
        <v>1500</v>
      </c>
      <c r="T9" s="6">
        <v>1740</v>
      </c>
      <c r="U9" s="6">
        <v>1500</v>
      </c>
    </row>
    <row r="10" spans="2:21" x14ac:dyDescent="0.3">
      <c r="B10" t="s">
        <v>3</v>
      </c>
      <c r="C10" t="s">
        <v>56</v>
      </c>
      <c r="D10" t="s">
        <v>33</v>
      </c>
      <c r="E10" t="s">
        <v>0</v>
      </c>
      <c r="F10" t="s">
        <v>1</v>
      </c>
      <c r="G10" t="s">
        <v>62</v>
      </c>
      <c r="H10" t="s">
        <v>58</v>
      </c>
      <c r="I10" t="s">
        <v>36</v>
      </c>
      <c r="J10" t="s">
        <v>37</v>
      </c>
      <c r="L10" s="7">
        <v>1.1599999999999999</v>
      </c>
      <c r="N10" s="7" t="s">
        <v>59</v>
      </c>
      <c r="O10" t="s">
        <v>63</v>
      </c>
      <c r="P10" s="6">
        <v>48</v>
      </c>
      <c r="Q10" s="7">
        <v>55.68</v>
      </c>
      <c r="R10" t="s">
        <v>64</v>
      </c>
      <c r="S10" s="6">
        <v>48</v>
      </c>
      <c r="T10" s="7">
        <v>55.68</v>
      </c>
      <c r="U10" s="6">
        <v>48</v>
      </c>
    </row>
    <row r="11" spans="2:21" x14ac:dyDescent="0.3">
      <c r="B11" t="s">
        <v>3</v>
      </c>
      <c r="C11" t="s">
        <v>56</v>
      </c>
      <c r="D11" t="s">
        <v>33</v>
      </c>
      <c r="E11" t="s">
        <v>0</v>
      </c>
      <c r="F11" t="s">
        <v>1</v>
      </c>
      <c r="G11" t="s">
        <v>65</v>
      </c>
      <c r="H11" t="s">
        <v>58</v>
      </c>
      <c r="I11" t="s">
        <v>36</v>
      </c>
      <c r="J11" t="s">
        <v>37</v>
      </c>
      <c r="L11" s="7">
        <v>1.1599999999999999</v>
      </c>
      <c r="N11" s="7" t="s">
        <v>50</v>
      </c>
      <c r="O11" t="s">
        <v>66</v>
      </c>
      <c r="P11" s="6">
        <v>516</v>
      </c>
      <c r="Q11" s="7">
        <v>598.55999999999995</v>
      </c>
      <c r="R11" t="s">
        <v>67</v>
      </c>
      <c r="S11" s="6">
        <v>516</v>
      </c>
      <c r="T11" s="7">
        <v>598.55999999999995</v>
      </c>
      <c r="U11" s="6">
        <v>516</v>
      </c>
    </row>
    <row r="12" spans="2:21" x14ac:dyDescent="0.3">
      <c r="B12" t="s">
        <v>4</v>
      </c>
      <c r="C12" t="s">
        <v>56</v>
      </c>
      <c r="D12" t="s">
        <v>33</v>
      </c>
      <c r="E12" t="s">
        <v>0</v>
      </c>
      <c r="F12" t="s">
        <v>1</v>
      </c>
      <c r="G12" t="s">
        <v>68</v>
      </c>
      <c r="H12" t="s">
        <v>58</v>
      </c>
      <c r="I12" t="s">
        <v>36</v>
      </c>
      <c r="J12" t="s">
        <v>37</v>
      </c>
      <c r="K12" s="6">
        <v>1032</v>
      </c>
      <c r="L12" s="7">
        <v>1.1599999999999999</v>
      </c>
      <c r="M12" s="7">
        <v>1197.1199999999999</v>
      </c>
      <c r="N12" s="7" t="s">
        <v>69</v>
      </c>
      <c r="O12" t="s">
        <v>70</v>
      </c>
      <c r="P12" s="6">
        <v>258</v>
      </c>
      <c r="Q12" s="7">
        <v>299.27999999999997</v>
      </c>
      <c r="R12" t="s">
        <v>71</v>
      </c>
      <c r="S12" s="6">
        <v>258</v>
      </c>
      <c r="T12" s="7">
        <v>299.27999999999997</v>
      </c>
      <c r="U12" s="6">
        <v>258</v>
      </c>
    </row>
    <row r="13" spans="2:21" x14ac:dyDescent="0.3">
      <c r="B13" t="s">
        <v>4</v>
      </c>
      <c r="C13" t="s">
        <v>56</v>
      </c>
      <c r="D13" t="s">
        <v>33</v>
      </c>
      <c r="E13" t="s">
        <v>0</v>
      </c>
      <c r="F13" t="s">
        <v>1</v>
      </c>
      <c r="G13" t="s">
        <v>72</v>
      </c>
      <c r="H13" t="s">
        <v>58</v>
      </c>
      <c r="I13" t="s">
        <v>36</v>
      </c>
      <c r="J13" t="s">
        <v>37</v>
      </c>
      <c r="L13" s="7">
        <v>1.1599999999999999</v>
      </c>
      <c r="N13" s="7" t="s">
        <v>73</v>
      </c>
      <c r="O13" t="s">
        <v>74</v>
      </c>
      <c r="P13" s="6">
        <v>258</v>
      </c>
      <c r="Q13" s="7">
        <v>299.27999999999997</v>
      </c>
      <c r="R13" t="s">
        <v>75</v>
      </c>
      <c r="S13" s="6">
        <v>258</v>
      </c>
      <c r="T13" s="7">
        <v>299.27999999999997</v>
      </c>
      <c r="U13" s="6">
        <v>258</v>
      </c>
    </row>
    <row r="14" spans="2:21" x14ac:dyDescent="0.3">
      <c r="B14" t="s">
        <v>4</v>
      </c>
      <c r="C14" t="s">
        <v>56</v>
      </c>
      <c r="D14" t="s">
        <v>33</v>
      </c>
      <c r="E14" t="s">
        <v>0</v>
      </c>
      <c r="F14" t="s">
        <v>1</v>
      </c>
      <c r="G14" t="s">
        <v>76</v>
      </c>
      <c r="H14" t="s">
        <v>58</v>
      </c>
      <c r="I14" t="s">
        <v>36</v>
      </c>
      <c r="J14" t="s">
        <v>37</v>
      </c>
      <c r="L14" s="7">
        <v>1.1599999999999999</v>
      </c>
      <c r="N14" s="7" t="s">
        <v>73</v>
      </c>
      <c r="O14" t="s">
        <v>77</v>
      </c>
      <c r="P14" s="6">
        <v>516</v>
      </c>
      <c r="Q14" s="7">
        <v>598.55999999999995</v>
      </c>
      <c r="R14" t="s">
        <v>78</v>
      </c>
      <c r="S14" s="6">
        <v>516</v>
      </c>
      <c r="T14" s="7">
        <v>598.55999999999995</v>
      </c>
      <c r="U14" s="6">
        <v>516</v>
      </c>
    </row>
    <row r="15" spans="2:21" x14ac:dyDescent="0.3">
      <c r="B15" t="s">
        <v>79</v>
      </c>
      <c r="C15" t="s">
        <v>80</v>
      </c>
      <c r="D15" t="s">
        <v>33</v>
      </c>
      <c r="E15" t="s">
        <v>0</v>
      </c>
      <c r="F15" t="s">
        <v>1</v>
      </c>
      <c r="G15" t="s">
        <v>81</v>
      </c>
      <c r="H15" t="s">
        <v>82</v>
      </c>
      <c r="I15" t="s">
        <v>36</v>
      </c>
      <c r="J15" t="s">
        <v>37</v>
      </c>
      <c r="K15" s="6">
        <v>1548</v>
      </c>
      <c r="L15" s="7">
        <v>1.1599999999999999</v>
      </c>
      <c r="M15" s="7">
        <v>1795.68</v>
      </c>
      <c r="N15" s="7" t="s">
        <v>83</v>
      </c>
      <c r="O15" t="s">
        <v>84</v>
      </c>
      <c r="P15" s="6">
        <v>516</v>
      </c>
      <c r="Q15" s="7">
        <v>598.55999999999995</v>
      </c>
      <c r="R15" t="s">
        <v>85</v>
      </c>
      <c r="S15" s="6">
        <v>516</v>
      </c>
      <c r="T15" s="7">
        <v>598.55999999999995</v>
      </c>
      <c r="U15" s="6">
        <v>516</v>
      </c>
    </row>
    <row r="16" spans="2:21" x14ac:dyDescent="0.3">
      <c r="B16" t="s">
        <v>79</v>
      </c>
      <c r="C16" t="s">
        <v>80</v>
      </c>
      <c r="D16" t="s">
        <v>33</v>
      </c>
      <c r="E16" t="s">
        <v>0</v>
      </c>
      <c r="F16" t="s">
        <v>1</v>
      </c>
      <c r="G16" t="s">
        <v>86</v>
      </c>
      <c r="H16" t="s">
        <v>82</v>
      </c>
      <c r="I16" t="s">
        <v>36</v>
      </c>
      <c r="J16" t="s">
        <v>37</v>
      </c>
      <c r="L16" s="7">
        <v>1.1599999999999999</v>
      </c>
      <c r="N16" s="7" t="s">
        <v>87</v>
      </c>
      <c r="O16" t="s">
        <v>88</v>
      </c>
      <c r="P16" s="6">
        <v>258</v>
      </c>
      <c r="Q16" s="7">
        <v>299.27999999999997</v>
      </c>
      <c r="R16" t="s">
        <v>89</v>
      </c>
      <c r="S16" s="6">
        <v>258</v>
      </c>
      <c r="T16" s="7">
        <v>299.27999999999997</v>
      </c>
      <c r="U16" s="6">
        <v>258</v>
      </c>
    </row>
    <row r="17" spans="2:21" x14ac:dyDescent="0.3">
      <c r="B17" t="s">
        <v>79</v>
      </c>
      <c r="C17" t="s">
        <v>80</v>
      </c>
      <c r="D17" t="s">
        <v>33</v>
      </c>
      <c r="E17" t="s">
        <v>0</v>
      </c>
      <c r="F17" t="s">
        <v>1</v>
      </c>
      <c r="G17" t="s">
        <v>90</v>
      </c>
      <c r="H17" t="s">
        <v>82</v>
      </c>
      <c r="I17" t="s">
        <v>36</v>
      </c>
      <c r="J17" t="s">
        <v>37</v>
      </c>
      <c r="L17" s="7">
        <v>1.1599999999999999</v>
      </c>
      <c r="N17" s="7" t="s">
        <v>87</v>
      </c>
      <c r="O17" t="s">
        <v>91</v>
      </c>
      <c r="P17" s="6">
        <v>258</v>
      </c>
      <c r="Q17" s="7">
        <v>299.27999999999997</v>
      </c>
      <c r="R17" t="s">
        <v>92</v>
      </c>
      <c r="S17" s="6">
        <v>258</v>
      </c>
      <c r="T17" s="7">
        <v>299.27999999999997</v>
      </c>
      <c r="U17" s="6">
        <v>258</v>
      </c>
    </row>
    <row r="18" spans="2:21" x14ac:dyDescent="0.3">
      <c r="B18" t="s">
        <v>79</v>
      </c>
      <c r="C18" t="s">
        <v>80</v>
      </c>
      <c r="D18" t="s">
        <v>33</v>
      </c>
      <c r="E18" t="s">
        <v>0</v>
      </c>
      <c r="F18" t="s">
        <v>1</v>
      </c>
      <c r="G18" t="s">
        <v>93</v>
      </c>
      <c r="H18" t="s">
        <v>82</v>
      </c>
      <c r="I18" t="s">
        <v>36</v>
      </c>
      <c r="J18" t="s">
        <v>37</v>
      </c>
      <c r="L18" s="7">
        <v>1.1599999999999999</v>
      </c>
      <c r="N18" s="7" t="s">
        <v>69</v>
      </c>
      <c r="O18" t="s">
        <v>94</v>
      </c>
      <c r="P18" s="6">
        <v>516</v>
      </c>
      <c r="Q18" s="7">
        <v>598.55999999999995</v>
      </c>
      <c r="R18" t="s">
        <v>95</v>
      </c>
      <c r="S18" s="6">
        <v>516</v>
      </c>
      <c r="T18" s="7">
        <v>598.55999999999995</v>
      </c>
      <c r="U18" s="6">
        <v>516</v>
      </c>
    </row>
    <row r="19" spans="2:21" x14ac:dyDescent="0.3">
      <c r="B19" t="s">
        <v>96</v>
      </c>
      <c r="C19" t="s">
        <v>97</v>
      </c>
      <c r="D19" t="s">
        <v>33</v>
      </c>
      <c r="E19" t="s">
        <v>0</v>
      </c>
      <c r="F19" t="s">
        <v>1</v>
      </c>
      <c r="G19" t="s">
        <v>98</v>
      </c>
      <c r="H19" t="s">
        <v>99</v>
      </c>
      <c r="I19" t="s">
        <v>36</v>
      </c>
      <c r="J19" t="s">
        <v>37</v>
      </c>
      <c r="K19" s="6">
        <v>3000</v>
      </c>
      <c r="L19" s="7">
        <v>1.1599999999999999</v>
      </c>
      <c r="M19" s="6">
        <v>3480</v>
      </c>
      <c r="N19" s="7" t="s">
        <v>69</v>
      </c>
      <c r="O19" t="s">
        <v>100</v>
      </c>
      <c r="P19" s="6">
        <v>516</v>
      </c>
      <c r="Q19" s="7">
        <v>598.55999999999995</v>
      </c>
      <c r="R19" t="s">
        <v>101</v>
      </c>
      <c r="S19" s="6">
        <v>516</v>
      </c>
      <c r="T19" s="7">
        <v>598.55999999999995</v>
      </c>
      <c r="U19" s="6">
        <v>516</v>
      </c>
    </row>
    <row r="20" spans="2:21" x14ac:dyDescent="0.3">
      <c r="B20" t="s">
        <v>96</v>
      </c>
      <c r="C20" t="s">
        <v>97</v>
      </c>
      <c r="D20" t="s">
        <v>33</v>
      </c>
      <c r="E20" t="s">
        <v>0</v>
      </c>
      <c r="F20" t="s">
        <v>1</v>
      </c>
      <c r="G20" t="s">
        <v>102</v>
      </c>
      <c r="H20" t="s">
        <v>99</v>
      </c>
      <c r="I20" t="s">
        <v>36</v>
      </c>
      <c r="J20" t="s">
        <v>37</v>
      </c>
      <c r="L20" s="7">
        <v>1.1599999999999999</v>
      </c>
      <c r="N20" s="7" t="s">
        <v>69</v>
      </c>
      <c r="O20" t="s">
        <v>103</v>
      </c>
      <c r="P20" s="6">
        <v>258</v>
      </c>
      <c r="Q20" s="7">
        <v>299.27999999999997</v>
      </c>
      <c r="R20" t="s">
        <v>104</v>
      </c>
      <c r="S20" s="6">
        <v>258</v>
      </c>
      <c r="T20" s="7">
        <v>299.27999999999997</v>
      </c>
      <c r="U20" s="6">
        <v>258</v>
      </c>
    </row>
    <row r="21" spans="2:21" x14ac:dyDescent="0.3">
      <c r="B21" t="s">
        <v>96</v>
      </c>
      <c r="C21" t="s">
        <v>97</v>
      </c>
      <c r="D21" t="s">
        <v>33</v>
      </c>
      <c r="E21" t="s">
        <v>0</v>
      </c>
      <c r="F21" t="s">
        <v>1</v>
      </c>
      <c r="G21" t="s">
        <v>105</v>
      </c>
      <c r="H21" t="s">
        <v>99</v>
      </c>
      <c r="I21" t="s">
        <v>36</v>
      </c>
      <c r="J21" t="s">
        <v>37</v>
      </c>
      <c r="L21" s="7">
        <v>1.1599999999999999</v>
      </c>
      <c r="N21" s="7" t="s">
        <v>106</v>
      </c>
      <c r="O21" t="s">
        <v>107</v>
      </c>
      <c r="P21" s="6">
        <v>516</v>
      </c>
      <c r="Q21" s="7">
        <v>598.55999999999995</v>
      </c>
      <c r="R21" t="s">
        <v>108</v>
      </c>
      <c r="S21" s="6">
        <v>516</v>
      </c>
      <c r="T21" s="7">
        <v>598.55999999999995</v>
      </c>
      <c r="U21" s="6">
        <v>516</v>
      </c>
    </row>
    <row r="22" spans="2:21" x14ac:dyDescent="0.3">
      <c r="B22" t="s">
        <v>96</v>
      </c>
      <c r="C22" t="s">
        <v>97</v>
      </c>
      <c r="D22" t="s">
        <v>33</v>
      </c>
      <c r="E22" t="s">
        <v>0</v>
      </c>
      <c r="F22" t="s">
        <v>1</v>
      </c>
      <c r="G22" t="s">
        <v>109</v>
      </c>
      <c r="H22" t="s">
        <v>99</v>
      </c>
      <c r="I22" t="s">
        <v>36</v>
      </c>
      <c r="J22" t="s">
        <v>37</v>
      </c>
      <c r="L22" s="7">
        <v>1.1599999999999999</v>
      </c>
      <c r="N22" s="7" t="s">
        <v>106</v>
      </c>
      <c r="O22" t="s">
        <v>110</v>
      </c>
      <c r="P22" s="6">
        <v>258</v>
      </c>
      <c r="Q22" s="7">
        <v>299.27999999999997</v>
      </c>
      <c r="R22" t="s">
        <v>111</v>
      </c>
      <c r="S22" s="6">
        <v>258</v>
      </c>
      <c r="T22" s="7">
        <v>299.27999999999997</v>
      </c>
      <c r="U22" s="6">
        <v>258</v>
      </c>
    </row>
    <row r="23" spans="2:21" x14ac:dyDescent="0.3">
      <c r="B23" t="s">
        <v>96</v>
      </c>
      <c r="C23" t="s">
        <v>97</v>
      </c>
      <c r="D23" t="s">
        <v>33</v>
      </c>
      <c r="E23" t="s">
        <v>0</v>
      </c>
      <c r="F23" t="s">
        <v>1</v>
      </c>
      <c r="G23" t="s">
        <v>112</v>
      </c>
      <c r="H23" t="s">
        <v>99</v>
      </c>
      <c r="I23" t="s">
        <v>36</v>
      </c>
      <c r="J23" t="s">
        <v>37</v>
      </c>
      <c r="L23" s="7">
        <v>1.1599999999999999</v>
      </c>
      <c r="N23" s="7" t="s">
        <v>106</v>
      </c>
      <c r="O23" t="s">
        <v>113</v>
      </c>
      <c r="P23" s="6">
        <v>516</v>
      </c>
      <c r="Q23" s="7">
        <v>598.55999999999995</v>
      </c>
      <c r="R23" t="s">
        <v>114</v>
      </c>
      <c r="S23" s="6">
        <v>516</v>
      </c>
      <c r="T23" s="7">
        <v>598.55999999999995</v>
      </c>
      <c r="U23" s="6">
        <v>516</v>
      </c>
    </row>
    <row r="24" spans="2:21" x14ac:dyDescent="0.3">
      <c r="B24" t="s">
        <v>96</v>
      </c>
      <c r="C24" t="s">
        <v>97</v>
      </c>
      <c r="D24" t="s">
        <v>33</v>
      </c>
      <c r="E24" t="s">
        <v>0</v>
      </c>
      <c r="F24" t="s">
        <v>1</v>
      </c>
      <c r="G24" t="s">
        <v>115</v>
      </c>
      <c r="H24" t="s">
        <v>99</v>
      </c>
      <c r="I24" t="s">
        <v>36</v>
      </c>
      <c r="J24" t="s">
        <v>37</v>
      </c>
      <c r="L24" s="7">
        <v>1.1599999999999999</v>
      </c>
      <c r="N24" s="7" t="s">
        <v>106</v>
      </c>
      <c r="O24" t="s">
        <v>116</v>
      </c>
      <c r="P24" s="6">
        <v>774</v>
      </c>
      <c r="Q24" s="7">
        <v>897.84</v>
      </c>
      <c r="R24" t="s">
        <v>117</v>
      </c>
      <c r="S24" s="6">
        <v>774</v>
      </c>
      <c r="T24" s="7">
        <v>897.84</v>
      </c>
      <c r="U24" s="6">
        <v>774</v>
      </c>
    </row>
    <row r="25" spans="2:21" x14ac:dyDescent="0.3">
      <c r="B25" t="s">
        <v>118</v>
      </c>
      <c r="C25" t="s">
        <v>119</v>
      </c>
      <c r="D25" t="s">
        <v>33</v>
      </c>
      <c r="E25" t="s">
        <v>0</v>
      </c>
      <c r="F25" t="s">
        <v>1</v>
      </c>
      <c r="G25" t="s">
        <v>120</v>
      </c>
      <c r="H25" t="s">
        <v>121</v>
      </c>
      <c r="I25" t="s">
        <v>36</v>
      </c>
      <c r="J25" t="s">
        <v>37</v>
      </c>
      <c r="K25" s="6">
        <v>3000</v>
      </c>
      <c r="L25" s="7">
        <v>1.1599999999999999</v>
      </c>
      <c r="M25" s="6">
        <v>3480</v>
      </c>
      <c r="N25" s="7" t="s">
        <v>122</v>
      </c>
      <c r="O25" t="s">
        <v>123</v>
      </c>
      <c r="P25" s="6">
        <v>1032</v>
      </c>
      <c r="Q25" s="7">
        <v>1197.1199999999999</v>
      </c>
      <c r="R25" t="s">
        <v>124</v>
      </c>
      <c r="S25" s="6">
        <v>1032</v>
      </c>
      <c r="T25" s="7">
        <v>1197.1199999999999</v>
      </c>
      <c r="U25" s="6">
        <v>1032</v>
      </c>
    </row>
    <row r="26" spans="2:21" x14ac:dyDescent="0.3">
      <c r="B26" t="s">
        <v>118</v>
      </c>
      <c r="C26" t="s">
        <v>119</v>
      </c>
      <c r="D26" t="s">
        <v>33</v>
      </c>
      <c r="E26" t="s">
        <v>0</v>
      </c>
      <c r="F26" t="s">
        <v>1</v>
      </c>
      <c r="G26" t="s">
        <v>125</v>
      </c>
      <c r="H26" t="s">
        <v>121</v>
      </c>
      <c r="I26" t="s">
        <v>36</v>
      </c>
      <c r="J26" t="s">
        <v>37</v>
      </c>
      <c r="L26" s="7">
        <v>1.1599999999999999</v>
      </c>
      <c r="N26" s="7" t="s">
        <v>126</v>
      </c>
      <c r="O26" t="s">
        <v>127</v>
      </c>
      <c r="P26" s="6">
        <v>774</v>
      </c>
      <c r="Q26" s="7">
        <v>897.84</v>
      </c>
      <c r="R26" t="s">
        <v>128</v>
      </c>
      <c r="S26" s="6">
        <v>774</v>
      </c>
      <c r="T26" s="7">
        <v>897.84</v>
      </c>
      <c r="U26" s="6">
        <v>774</v>
      </c>
    </row>
    <row r="27" spans="2:21" x14ac:dyDescent="0.3">
      <c r="B27" t="s">
        <v>118</v>
      </c>
      <c r="C27" t="s">
        <v>119</v>
      </c>
      <c r="D27" t="s">
        <v>33</v>
      </c>
      <c r="E27" t="s">
        <v>0</v>
      </c>
      <c r="F27" t="s">
        <v>1</v>
      </c>
      <c r="G27" t="s">
        <v>129</v>
      </c>
      <c r="H27" t="s">
        <v>121</v>
      </c>
      <c r="I27" t="s">
        <v>36</v>
      </c>
      <c r="J27" t="s">
        <v>37</v>
      </c>
      <c r="L27" s="7">
        <v>1.1599999999999999</v>
      </c>
      <c r="N27" s="7" t="s">
        <v>130</v>
      </c>
      <c r="O27" t="s">
        <v>131</v>
      </c>
      <c r="P27" s="6">
        <v>774</v>
      </c>
      <c r="Q27" s="7">
        <v>897.84</v>
      </c>
      <c r="R27" t="s">
        <v>132</v>
      </c>
      <c r="S27" s="6">
        <v>774</v>
      </c>
      <c r="T27" s="7">
        <v>897.84</v>
      </c>
      <c r="U27" s="6">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Schedule</vt:lpstr>
      <vt:lpstr>Sheet1</vt:lpstr>
      <vt:lpstr>Conciliation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Alvarado, Jovany Arturo</dc:creator>
  <cp:keywords/>
  <dc:description/>
  <cp:lastModifiedBy>Calderon, Erendy</cp:lastModifiedBy>
  <cp:revision/>
  <dcterms:created xsi:type="dcterms:W3CDTF">2024-05-07T18:28:51Z</dcterms:created>
  <dcterms:modified xsi:type="dcterms:W3CDTF">2026-07-10T20:24:48Z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